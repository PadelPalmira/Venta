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ada" sheetId="1" state="visible" r:id="rId3"/>
    <sheet name="Supuestos" sheetId="2" state="visible" r:id="rId4"/>
    <sheet name="Estado de Resultados" sheetId="3" state="visible" r:id="rId5"/>
    <sheet name="Balance General" sheetId="4" state="visible" r:id="rId6"/>
    <sheet name="Flujo de Efectivo" sheetId="5" state="visible" r:id="rId7"/>
    <sheet name="Valuación" sheetId="6" state="visible" r:id="rId8"/>
    <sheet name="Notas" sheetId="7" state="visible" r:id="rId9"/>
    <sheet name="Base Mensual"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<sst xmlns="http://schemas.openxmlformats.org/spreadsheetml/2006/main" count="349" uniqueCount="326">
  <si>
    <t xml:space="preserve">PADEL PALMIRA CLUB DEPORTIVO</t>
  </si>
  <si>
    <t xml:space="preserve">Estados Financieros para Inversionistas</t>
  </si>
  <si>
    <t xml:space="preserve">Estado de Resultados · Balance General · Estado de Flujo de Efectivo · Proyección integrada a 3 años · Valuación</t>
  </si>
  <si>
    <t xml:space="preserve">Cifras en pesos mexicanos (MXN) · Periodo histórico: noviembre 2024 – mayo 2026 (19 meses) · Estados no auditados, preparados con base en los registros internos del club</t>
  </si>
  <si>
    <t xml:space="preserve">Contenido</t>
  </si>
  <si>
    <t xml:space="preserve">1.  Supuestos — parámetros del modelo (celdas en azul / fondo amarillo = editables)</t>
  </si>
  <si>
    <t xml:space="preserve">2.  Estado de Resultados — histórico por periodo, últimos 12 meses (TTM) y proyección a 3 años</t>
  </si>
  <si>
    <t xml:space="preserve">3.  Balance General — 30-abr-2026 (último corte bancario), 31-may-2026 (estimado) y proyección</t>
  </si>
  <si>
    <t xml:space="preserve">4.  Estado de Flujo de Efectivo — desde la apertura, con conciliación contra saldos bancarios</t>
  </si>
  <si>
    <t xml:space="preserve">5.  Valuación — terreno + negocio, múltiplo implícito y retorno ilustrativo para el comprador</t>
  </si>
  <si>
    <t xml:space="preserve">6.  Notas a los Estados Financieros</t>
  </si>
  <si>
    <t xml:space="preserve">7.  Base Mensual — registros mensuales que alimentan todos los estados</t>
  </si>
  <si>
    <t xml:space="preserve">Convenciones</t>
  </si>
  <si>
    <t xml:space="preserve">Texto azul — Dato capturado (registro histórico o supuesto). Todo lo demás es fórmula.</t>
  </si>
  <si>
    <t xml:space="preserve">Fondo amarillo — Supuesto clave o dato pendiente de confirmar — editar aquí y el modelo completo se recalcula.</t>
  </si>
  <si>
    <t xml:space="preserve">Columnas en gris azulado — Proyección (no es dato histórico).</t>
  </si>
  <si>
    <t xml:space="preserve">$ (1,234) — Cifras negativas entre paréntesis.</t>
  </si>
  <si>
    <t xml:space="preserve">Esta versión sustituye cualquier versión anterior de las cifras financieras del proyecto y está conciliada con Reporte_Financiero.xlsx. Las cifras históricas excluyen gastos personales de los socios, el sueldo del Director General saliente y el Fondo Apapacho (recaudación benéfica de terceros). Ver Notas.</t>
  </si>
  <si>
    <t xml:space="preserve">Confidencial</t>
  </si>
  <si>
    <t xml:space="preserve">Preparado exclusivamente para inversionistas potenciales evaluando la adquisición de Padel Palmira Club Deportivo (Av. Palmira No. 58, Cuernavaca, Morelos). Prohibida su distribución sin autorización.</t>
  </si>
  <si>
    <t xml:space="preserve">Contacto</t>
  </si>
  <si>
    <t xml:space="preserve">padelpalmira@gmail.com  ·  Único canal de contacto para esta oportunidad</t>
  </si>
  <si>
    <t xml:space="preserve">Supuestos del Modelo</t>
  </si>
  <si>
    <t xml:space="preserve">Celdas con fondo amarillo = supuestos editables. Todas las hojas se recalculan al modificarlos.</t>
  </si>
  <si>
    <t xml:space="preserve">Supuesto</t>
  </si>
  <si>
    <t xml:space="preserve">Valor</t>
  </si>
  <si>
    <t xml:space="preserve">Fuente / comentario</t>
  </si>
  <si>
    <t xml:space="preserve">ACTIVO FIJO Y DEPRECIACIÓN</t>
  </si>
  <si>
    <t xml:space="preserve">Inversión inicial del proyecto (instalaciones, canchas, techumbre, equipo)</t>
  </si>
  <si>
    <t xml:space="preserve">Dato del propietario ("Inversión Inicial Proyecto"). Se asume que NO incluye el terreno (propiedad de Promotora Goya). Desglose por componente pendiente.</t>
  </si>
  <si>
    <t xml:space="preserve">Tasa de depreciación anual ponderada</t>
  </si>
  <si>
    <t xml:space="preserve">Supuesto conservador: tasa fiscal de mobiliario y equipo (10%). Construcciones deprecian al 5% (LISR art. 34) — con el desglose real la depreciación sería menor. Confirmar con el contador.</t>
  </si>
  <si>
    <t xml:space="preserve">Depreciación mensual resultante</t>
  </si>
  <si>
    <t xml:space="preserve">Fórmula. Se deprecia desde noviembre 2024 (primer mes con registros de operación).</t>
  </si>
  <si>
    <t xml:space="preserve">IMPUESTOS</t>
  </si>
  <si>
    <t xml:space="preserve">Tasa de ISR (personas morales, régimen general)</t>
  </si>
  <si>
    <t xml:space="preserve">Pro forma. Los registros del club no separan pagos de ISR/IVA; los estados históricos muestran el ISR que causaría la utilidad bajo régimen general. PTU no modelada.</t>
  </si>
  <si>
    <t xml:space="preserve">PROYECCIÓN (AÑOS 1–3: JUN-26 A MAY-29)</t>
  </si>
  <si>
    <t xml:space="preserve">Crecimiento anual de ingresos</t>
  </si>
  <si>
    <t xml:space="preserve">Crecimiento de horas de cancha ocupadas año contra año (Playtomic, ene–may 2026 vs. ene–may 2025). Mismo supuesto que Reporte_Financiero.xlsx, hoja Proyecciones.</t>
  </si>
  <si>
    <t xml:space="preserve">Capex de mantenimiento (% de ingresos)</t>
  </si>
  <si>
    <t xml:space="preserve">Reserva para reemplazos mayores (pasto sintético, vidrios, iluminación). Históricamente las reparaciones se registraron como gasto; este capex es adicional y conservador.</t>
  </si>
  <si>
    <t xml:space="preserve">Distribución de utilidades a socios (% de utilidad neta)</t>
  </si>
  <si>
    <t xml:space="preserve">Decisión del comprador. Con 0% el efectivo se acumula en balance.</t>
  </si>
  <si>
    <t xml:space="preserve">Variación anual de capital de trabajo</t>
  </si>
  <si>
    <t xml:space="preserve">Negocio de cobro inmediato (reservas y consumo pagados al momento): sin cuentas por cobrar relevantes. Se asume cero.</t>
  </si>
  <si>
    <t xml:space="preserve">BALANCE — DATOS PENDIENTES DE CONFIRMAR</t>
  </si>
  <si>
    <t xml:space="preserve">Inventario (bebidas, botana, pelotas, grips) al corte</t>
  </si>
  <si>
    <t xml:space="preserve">PENDIENTE: capturar conteo físico valuado a costo.</t>
  </si>
  <si>
    <t xml:space="preserve">Proveedores y acreedores por pagar al corte</t>
  </si>
  <si>
    <t xml:space="preserve">PENDIENTE: confirmar. Los registros no muestran cuentas por pagar.</t>
  </si>
  <si>
    <t xml:space="preserve">Impuestos por pagar al corte</t>
  </si>
  <si>
    <t xml:space="preserve">PENDIENTE: confirmar con el contador situación de ISR/IVA de El Arroyo Investments.</t>
  </si>
  <si>
    <t xml:space="preserve">Deuda financiera</t>
  </si>
  <si>
    <t xml:space="preserve">Según el propietario, el proyecto se financió con capital propio y el terreno está libre de gravámenes (sujeto a certificado de libertad de gravamen).</t>
  </si>
  <si>
    <t xml:space="preserve">Retiros de socios en mayo 2026</t>
  </si>
  <si>
    <t xml:space="preserve">PENDIENTE: la bitácora termina en marzo 2026. Afecta solo el balance estimado al 31-may-26.</t>
  </si>
  <si>
    <t xml:space="preserve">EFECTIVO — ÚLTIMO CORTE DE SALDOS (ABRIL 2026)</t>
  </si>
  <si>
    <t xml:space="preserve">Clip (terminal)</t>
  </si>
  <si>
    <t xml:space="preserve">Saldo reportado por el propietario (hoja de conciliación). Fecha exacta del corte por confirmar.</t>
  </si>
  <si>
    <t xml:space="preserve">BBVA</t>
  </si>
  <si>
    <t xml:space="preserve">Nu</t>
  </si>
  <si>
    <t xml:space="preserve">Ualá</t>
  </si>
  <si>
    <t xml:space="preserve">Didi</t>
  </si>
  <si>
    <t xml:space="preserve">Efectivo en caja</t>
  </si>
  <si>
    <t xml:space="preserve">Total efectivo al corte</t>
  </si>
  <si>
    <t xml:space="preserve">VALUACIÓN</t>
  </si>
  <si>
    <t xml:space="preserve">Superficie del terreno (m²)</t>
  </si>
  <si>
    <t xml:space="preserve">Escritura / Estudio de Valuación Inmobiliaria.</t>
  </si>
  <si>
    <t xml:space="preserve">Valor de tierra — conservador ($/m²)</t>
  </si>
  <si>
    <t xml:space="preserve">Estudio de Valuación Inmobiliaria (comparables de mercado). No es avalúo profesional.</t>
  </si>
  <si>
    <t xml:space="preserve">Valor de tierra — base ($/m²)</t>
  </si>
  <si>
    <t xml:space="preserve">Ídem.</t>
  </si>
  <si>
    <t xml:space="preserve">Valor de tierra — optimista ($/m²)</t>
  </si>
  <si>
    <t xml:space="preserve">Múltiplo EV/EBITDA negocio — conservador</t>
  </si>
  <si>
    <t xml:space="preserve">Rango de referencia para negocios deportivos/recreativos pequeños en México.</t>
  </si>
  <si>
    <t xml:space="preserve">Múltiplo EV/EBITDA negocio — base</t>
  </si>
  <si>
    <t xml:space="preserve">Múltiplo EV/EBITDA negocio — optimista</t>
  </si>
  <si>
    <t xml:space="preserve">Precio solicitado (terreno + negocio)</t>
  </si>
  <si>
    <t xml:space="preserve">Precio de oferta.</t>
  </si>
  <si>
    <t xml:space="preserve">Estado de Resultados</t>
  </si>
  <si>
    <t xml:space="preserve">Base operativa ajustada · MXN · Histórico no auditado; proyección con supuestos de la hoja Supuestos</t>
  </si>
  <si>
    <t xml:space="preserve">Concepto</t>
  </si>
  <si>
    <t xml:space="preserve">2024
nov–dic</t>
  </si>
  <si>
    <t xml:space="preserve">2025
ene–dic</t>
  </si>
  <si>
    <t xml:space="preserve">2026
ene–may</t>
  </si>
  <si>
    <t xml:space="preserve">TTM
jun-25–may-26</t>
  </si>
  <si>
    <t xml:space="preserve">Año 1
jun-26–may-27</t>
  </si>
  <si>
    <t xml:space="preserve">Año 2
jun-27–may-28</t>
  </si>
  <si>
    <t xml:space="preserve">Año 3
jun-28–may-29</t>
  </si>
  <si>
    <t xml:space="preserve">Meses en el periodo</t>
  </si>
  <si>
    <t xml:space="preserve">INGRESOS</t>
  </si>
  <si>
    <t xml:space="preserve">   Renta de canchas (incluye Hungers Escaleras)</t>
  </si>
  <si>
    <t xml:space="preserve">   Academia (clases)</t>
  </si>
  <si>
    <t xml:space="preserve">   Alimentos y bebidas (bebidas, cafetería, botana)</t>
  </si>
  <si>
    <t xml:space="preserve">   Pro-shop (pelotas, grips, palas, sacos)</t>
  </si>
  <si>
    <t xml:space="preserve">Total ingresos</t>
  </si>
  <si>
    <t xml:space="preserve">Ingreso promedio mensual</t>
  </si>
  <si>
    <t xml:space="preserve">COSTOS DIRECTOS</t>
  </si>
  <si>
    <t xml:space="preserve">   Costo de mercancía (A&amp;B, pro-shop, insumos, merch)</t>
  </si>
  <si>
    <t xml:space="preserve">   Comisiones de entrenadores (50% de academia)</t>
  </si>
  <si>
    <t xml:space="preserve">Utilidad bruta (contribución)</t>
  </si>
  <si>
    <t xml:space="preserve">Margen de contribución</t>
  </si>
  <si>
    <t xml:space="preserve">GASTOS DE OPERACIÓN</t>
  </si>
  <si>
    <t xml:space="preserve">   Nómina operativa (recepción, gerente, bonos)</t>
  </si>
  <si>
    <t xml:space="preserve">   Mantenimiento, reparaciones y mejoras</t>
  </si>
  <si>
    <t xml:space="preserve">   Limpieza (general y vidrios)</t>
  </si>
  <si>
    <t xml:space="preserve">   Servicios (energía, agua, internet)</t>
  </si>
  <si>
    <t xml:space="preserve">   Honorarios profesionales (legal y contable)</t>
  </si>
  <si>
    <t xml:space="preserve">   Gastos generales y publicidad</t>
  </si>
  <si>
    <t xml:space="preserve">Total gastos de operación</t>
  </si>
  <si>
    <t xml:space="preserve">EBITDA OPERATIVO AJUSTADO</t>
  </si>
  <si>
    <t xml:space="preserve">Margen EBITDA</t>
  </si>
  <si>
    <t xml:space="preserve">   Depreciación (pro forma)</t>
  </si>
  <si>
    <t xml:space="preserve">UTILIDAD DE OPERACIÓN (EBIT)</t>
  </si>
  <si>
    <t xml:space="preserve">Margen de operación</t>
  </si>
  <si>
    <t xml:space="preserve">   ISR pro forma</t>
  </si>
  <si>
    <t xml:space="preserve">UTILIDAD NETA PRO FORMA</t>
  </si>
  <si>
    <t xml:space="preserve">Margen neto</t>
  </si>
  <si>
    <t xml:space="preserve">PUENTE: UTILIDAD SEGÚN REGISTROS DEL PROPIETARIO → EBITDA OPERATIVO AJUSTADO</t>
  </si>
  <si>
    <t xml:space="preserve">   Utilidad según registros del propietario (antes de retiros)</t>
  </si>
  <si>
    <t xml:space="preserve">   (+) Gastos personales de los socios pagados por el club</t>
  </si>
  <si>
    <t xml:space="preserve">   (+) Sueldo del Director General (propietario saliente)</t>
  </si>
  <si>
    <t xml:space="preserve">   (±) Fondo Apapacho neto (recaudación de terceros)</t>
  </si>
  <si>
    <t xml:space="preserve">(=) EBITDA operativo ajustado</t>
  </si>
  <si>
    <t xml:space="preserve">Verificación (debe ser cero)</t>
  </si>
  <si>
    <t xml:space="preserve">Notas: (1) Cifras no auditadas. (2) La depreciación y el ISR son pro forma (ver Supuestos y Notas 4 y 5): el club no registra depreciación y sus registros no separan pagos de impuestos. (3) Proyección: cada línea crece al ritmo de ingresos, por lo que el margen EBITDA se mantiene constante (no se suponen eficiencias). No incluye la Fase 2 (alberca, tenis, casa club). (4) Honorarios 2026 incluyen gastos legales del juicio de lesividad (no recurrentes) — se mantienen dentro del EBITDA por prudencia.</t>
  </si>
  <si>
    <t xml:space="preserve">Balance General</t>
  </si>
  <si>
    <t xml:space="preserve">El Arroyo Investments, S.A.P. de I. de C.V. (operadora) · MXN · No auditado · El terreno (Promotora Goya, S.A. de C.V.) se presenta por separado en la hoja Valuación</t>
  </si>
  <si>
    <t xml:space="preserve">30-abr-2026
último corte</t>
  </si>
  <si>
    <t xml:space="preserve">31-may-2026
estimado</t>
  </si>
  <si>
    <t xml:space="preserve">may-2027
Año 1</t>
  </si>
  <si>
    <t xml:space="preserve">may-2028
Año 2</t>
  </si>
  <si>
    <t xml:space="preserve">may-2029
Año 3</t>
  </si>
  <si>
    <t xml:space="preserve">ACTIVO</t>
  </si>
  <si>
    <t xml:space="preserve">   Efectivo y equivalentes</t>
  </si>
  <si>
    <t xml:space="preserve">   Inventarios</t>
  </si>
  <si>
    <t xml:space="preserve">   Total activo circulante</t>
  </si>
  <si>
    <t xml:space="preserve">   Instalaciones, canchas y equipo (costo)</t>
  </si>
  <si>
    <t xml:space="preserve">   (−) Depreciación acumulada (pro forma)</t>
  </si>
  <si>
    <t xml:space="preserve">   Activo fijo neto</t>
  </si>
  <si>
    <t xml:space="preserve">   TOTAL ACTIVO</t>
  </si>
  <si>
    <t xml:space="preserve">PASIVO</t>
  </si>
  <si>
    <t xml:space="preserve">   Proveedores y acreedores</t>
  </si>
  <si>
    <t xml:space="preserve">   Impuestos por pagar</t>
  </si>
  <si>
    <t xml:space="preserve">   Deuda financiera</t>
  </si>
  <si>
    <t xml:space="preserve">   TOTAL PASIVO</t>
  </si>
  <si>
    <t xml:space="preserve">CAPITAL CONTABLE</t>
  </si>
  <si>
    <t xml:space="preserve">   Capital aportado por los socios</t>
  </si>
  <si>
    <t xml:space="preserve">   Resultados acumulados</t>
  </si>
  <si>
    <t xml:space="preserve">   (−) Distribuciones a socios acumuladas</t>
  </si>
  <si>
    <t xml:space="preserve">   Partida en conciliación de efectivo (ver Nota 6)</t>
  </si>
  <si>
    <t xml:space="preserve">   TOTAL CAPITAL CONTABLE</t>
  </si>
  <si>
    <t xml:space="preserve">   TOTAL PASIVO + CAPITAL</t>
  </si>
  <si>
    <t xml:space="preserve">   Verificación: activo − (pasivo + capital) = 0</t>
  </si>
  <si>
    <t xml:space="preserve">INDICADORES</t>
  </si>
  <si>
    <t xml:space="preserve">   Deuda neta (deuda − efectivo)</t>
  </si>
  <si>
    <t xml:space="preserve">   Pasivo total / capital contable</t>
  </si>
  <si>
    <t xml:space="preserve">Notas: (1) El corte de abril usa los saldos bancarios y de caja reportados por el propietario; el 31-may-26 se estima con el flujo de mayo según registros. (2) Inventario, proveedores, impuestos por pagar y retiros de mayo están pendientes de confirmar (celdas amarillas en Supuestos) y hoy se muestran en cero. (3) La depreciación es pro forma (Nota 4). (4) El terreno no forma parte del balance de la operadora: pertenece a Promotora Goya, S.A. de C.V. y se valúa por separado (hoja Valuación). (5) La partida en conciliación es la diferencia entre el efectivo real y el que explican los registros (Nota 6); se mantiene constante en la proyección.</t>
  </si>
  <si>
    <t xml:space="preserve">Estado de Flujo de Efectivo</t>
  </si>
  <si>
    <t xml:space="preserve">Método indirecto partiendo del EBITDA · MXN · Histórico desde la apertura; proyección años 1–3</t>
  </si>
  <si>
    <t xml:space="preserve">Pre-apertura</t>
  </si>
  <si>
    <t xml:space="preserve">Acumulado
inicio–may-26</t>
  </si>
  <si>
    <t xml:space="preserve">Año 1</t>
  </si>
  <si>
    <t xml:space="preserve">Año 2</t>
  </si>
  <si>
    <t xml:space="preserve">Año 3</t>
  </si>
  <si>
    <t xml:space="preserve">ACTIVIDADES DE OPERACIÓN</t>
  </si>
  <si>
    <t xml:space="preserve">   EBITDA operativo ajustado</t>
  </si>
  <si>
    <t xml:space="preserve">   (−) Sueldo del Director General (propietario saliente)</t>
  </si>
  <si>
    <t xml:space="preserve">   (−) ISR pagado</t>
  </si>
  <si>
    <t xml:space="preserve">   (±) Variación en capital de trabajo</t>
  </si>
  <si>
    <t xml:space="preserve">   Flujo neto de actividades de operación</t>
  </si>
  <si>
    <t xml:space="preserve">ACTIVIDADES DE INVERSIÓN</t>
  </si>
  <si>
    <t xml:space="preserve">   Inversión inicial en instalaciones y equipo</t>
  </si>
  <si>
    <t xml:space="preserve">   Capex de mantenimiento</t>
  </si>
  <si>
    <t xml:space="preserve">   Flujo neto de actividades de inversión</t>
  </si>
  <si>
    <t xml:space="preserve">ACTIVIDADES DE FINANCIAMIENTO</t>
  </si>
  <si>
    <t xml:space="preserve">   Aportaciones de capital de los socios</t>
  </si>
  <si>
    <t xml:space="preserve">   Gastos personales de socios pagados por el club</t>
  </si>
  <si>
    <t xml:space="preserve">   Retiros de utilidades de socios</t>
  </si>
  <si>
    <t xml:space="preserve">   Fondo Apapacho (recaudado y entregado a la fundación, neto)</t>
  </si>
  <si>
    <t xml:space="preserve">   Flujo neto de actividades de financiamiento</t>
  </si>
  <si>
    <t xml:space="preserve">   VARIACIÓN NETA DE EFECTIVO</t>
  </si>
  <si>
    <t xml:space="preserve">   Efectivo al inicio del periodo</t>
  </si>
  <si>
    <t xml:space="preserve">Efectivo al final del periodo</t>
  </si>
  <si>
    <t xml:space="preserve">Año 1 inicia con el efectivo del balance estimado al 31-may-26 (incluye la partida en conciliación).</t>
  </si>
  <si>
    <t xml:space="preserve">MEMO — CONCILIACIÓN CONTRA SALDOS BANCARIOS (CORTE ABRIL 2026)</t>
  </si>
  <si>
    <t xml:space="preserve">   Efectivo según registros acumulados al cierre de abril 2026</t>
  </si>
  <si>
    <t xml:space="preserve">   Efectivo real en cuentas y caja (último corte reportado)</t>
  </si>
  <si>
    <t xml:space="preserve">Diferencia: real − registros (positivo = sobra efectivo)</t>
  </si>
  <si>
    <t xml:space="preserve">   Diferencia como % del flujo de operación acumulado</t>
  </si>
  <si>
    <t xml:space="preserve">La diferencia considera abril completo según registros. Si el corte de saldos se tomó a mitad de mes (lo que sugiere la hoja del propietario), la diferencia sería mayor y en el mismo sentido: en todos los cortes disponibles el efectivo real ha sido mayor al que explican los registros, nunca menor. Ver Nota 6 y Reporte_Financiero.xlsx, hoja Conciliación de Caja.</t>
  </si>
  <si>
    <t xml:space="preserve">FLUJO DE EFECTIVO LIBRE PRO FORMA PARA EL COMPRADOR</t>
  </si>
  <si>
    <t xml:space="preserve">TTM</t>
  </si>
  <si>
    <t xml:space="preserve">   (−) ISR pro forma</t>
  </si>
  <si>
    <t xml:space="preserve">   (−) Capex de mantenimiento</t>
  </si>
  <si>
    <t xml:space="preserve">   (±) Capital de trabajo</t>
  </si>
  <si>
    <t xml:space="preserve">(=) Flujo de efectivo libre (FCF)</t>
  </si>
  <si>
    <t xml:space="preserve">   Conversión de EBITDA a FCF</t>
  </si>
  <si>
    <t xml:space="preserve">   FCF / precio solicitado (rendimiento en efectivo)</t>
  </si>
  <si>
    <t xml:space="preserve">Valuación — Terreno + Negocio</t>
  </si>
  <si>
    <t xml:space="preserve">Suma de partes: valor del terreno por comparables + valor del negocio por múltiplo de EBITDA TTM · MXN</t>
  </si>
  <si>
    <t xml:space="preserve">Conservador</t>
  </si>
  <si>
    <t xml:space="preserve">Base</t>
  </si>
  <si>
    <t xml:space="preserve">Optimista</t>
  </si>
  <si>
    <t xml:space="preserve">   Superficie del terreno (m²)</t>
  </si>
  <si>
    <t xml:space="preserve">   Valor de tierra ($/m²)</t>
  </si>
  <si>
    <t xml:space="preserve">Valor del terreno</t>
  </si>
  <si>
    <t xml:space="preserve">   EBITDA operativo ajustado TTM</t>
  </si>
  <si>
    <t xml:space="preserve">   Múltiplo EV/EBITDA</t>
  </si>
  <si>
    <t xml:space="preserve">Valor del negocio en operación</t>
  </si>
  <si>
    <t xml:space="preserve">VALOR COMBINADO (terreno + negocio)</t>
  </si>
  <si>
    <t xml:space="preserve">   (+) Efectivo de la operadora (31-may-26 est.)</t>
  </si>
  <si>
    <t xml:space="preserve">   (−) Deuda financiera</t>
  </si>
  <si>
    <t xml:space="preserve">(=) Valor del capital (equity value)</t>
  </si>
  <si>
    <t xml:space="preserve">   Precio solicitado</t>
  </si>
  <si>
    <t xml:space="preserve">   Precio vs. valor combinado</t>
  </si>
  <si>
    <t xml:space="preserve">Múltiplo implícito del negocio al precio solicitado</t>
  </si>
  <si>
    <t xml:space="preserve">   Múltiplo precio / EBITDA TTM (incluye terreno)</t>
  </si>
  <si>
    <t xml:space="preserve">Lectura: al precio solicitado y descontando el valor del terreno, el comprador paga por el negocio en operación el múltiplo implícito indicado. Los valores de tierra provienen del Estudio de Valuación Inmobiliaria (comparables de mercado); no sustituyen un avalúo profesional. El efectivo de la operadora se muestra como referencia: su tratamiento (incluido o retirado antes del cierre) se define en la negociación.</t>
  </si>
  <si>
    <t xml:space="preserve">RETORNO ILUSTRATIVO PARA EL COMPRADOR (3 AÑOS, SIN APALANCAMIENTO)</t>
  </si>
  <si>
    <t xml:space="preserve">Compra a precio solicitado al inicio del Año 1; recibe el FCF pro forma de los años 1–3; al final del Año 3 el activo vale: terreno a valor de tierra del escenario (sin plusvalía) + negocio al múltiplo del escenario sobre el EBITDA del Año 3. Ilustrativo — no es una promesa de rendimiento.</t>
  </si>
  <si>
    <t xml:space="preserve">Flujo (MXN)</t>
  </si>
  <si>
    <t xml:space="preserve">   Año 0 — precio de compra</t>
  </si>
  <si>
    <t xml:space="preserve">   Año 1 — FCF</t>
  </si>
  <si>
    <t xml:space="preserve">   Año 2 — FCF</t>
  </si>
  <si>
    <t xml:space="preserve">   Año 3 — FCF + valor de salida</t>
  </si>
  <si>
    <t xml:space="preserve">TIR (anual)</t>
  </si>
  <si>
    <t xml:space="preserve">Múltiplo sobre lo invertido (MOIC)</t>
  </si>
  <si>
    <t xml:space="preserve">SENSIBILIDAD DE LA TIR — valor de tierra ($/m²) vs. múltiplo de salida</t>
  </si>
  <si>
    <t xml:space="preserve">$/m²  \  múltiplo de salida</t>
  </si>
  <si>
    <t xml:space="preserve">Columnas auxiliares ocultas (I–W) contienen los flujos usados en cada celda de la sensibilidad.</t>
  </si>
  <si>
    <t xml:space="preserve">Notas a los Estados Financieros</t>
  </si>
  <si>
    <t xml:space="preserve">Forman parte integral de los estados financieros</t>
  </si>
  <si>
    <t xml:space="preserve">Nota 1</t>
  </si>
  <si>
    <t xml:space="preserve">Entidad y perímetro</t>
  </si>
  <si>
    <t xml:space="preserve">Padel Palmira Club Deportivo es operado por El Arroyo Investments, S.A.P. de I. de C.V., titular de la Licencia de Funcionamiento 2026 (registro municipal 0007050010, giro: canchas de pádel y club campestre con venta de alimentos tipo snack). El terreno de 3,762 m² en Av. Palmira No. 58, Cuernavaca, pertenece a Promotora Goya, S.A. de C.V. La transacción ofrecida comprende terreno y negocio en conjunto; por ello el balance general presenta a la operadora y el terreno se valúa por separado en la hoja Valuación.</t>
  </si>
  <si>
    <t xml:space="preserve">Nota 2</t>
  </si>
  <si>
    <t xml:space="preserve">Base de preparación</t>
  </si>
  <si>
    <t xml:space="preserve">Estados no auditados, preparados por la administración a partir de los registros internos del club (ventas Loyverse/Clip/Playtomic y bitácora de egresos), en pesos mexicanos. Periodo histórico: noviembre 2024 – mayo 2026 (19 meses). Los ingresos y egresos se reconocen en el mes en que se cobran o pagan (base de efectivo), lo que en este negocio es prácticamente equivalente a base devengada porque los clientes pagan al momento del servicio.</t>
  </si>
  <si>
    <t xml:space="preserve">Nota 3</t>
  </si>
  <si>
    <t xml:space="preserve">Ajustes al resultado reportado</t>
  </si>
  <si>
    <t xml:space="preserve">Se excluyen del EBITDA operativo, una sola vez: (a) gastos personales de los socios pagados por el club en 2024-2025 (renta de vivienda, alimentación, transporte) — $591,231 acumulados; (b) sueldo del Director General (propietario saliente, $40,000 mensuales desde enero 2026), que no continúa tras la venta; el gerente contratado sí permanece y su sueldo se mantiene como gasto; (c) Fondo Apapacho, recaudación benéfica que se cobra y entrega íntegra a una fundación (neutral). El puente en el Estado de Resultados concilia la utilidad según registros con el EBITDA ajustado.</t>
  </si>
  <si>
    <t xml:space="preserve">Nota 4</t>
  </si>
  <si>
    <t xml:space="preserve">Instalaciones y depreciación</t>
  </si>
  <si>
    <t xml:space="preserve">La inversión inicial del proyecto fue de $9,128,124 (dato del propietario), aportada por los socios antes de la apertura y sin financiamiento. Se asume que no incluye el terreno. El club no registra depreciación; para fines pro forma se aplica una tasa ponderada de 10% anual en línea recta desde noviembre 2024. Con el desglose real de la inversión (construcción al 5%, equipo al 10%) la depreciación probablemente sería menor y la utilidad de operación mayor.</t>
  </si>
  <si>
    <t xml:space="preserve">Nota 5</t>
  </si>
  <si>
    <t xml:space="preserve">Impuestos</t>
  </si>
  <si>
    <t xml:space="preserve">Los registros del club no separan pagos de ISR ni IVA. El ISR mostrado es pro forma (30% sobre la utilidad de operación, régimen general de personas morales) para que el comprador evalúe resultados después de impuestos. No se modela PTU. La situación fiscal de la operadora (declaraciones, saldos a favor o a cargo) debe confirmarse con el contador como parte de la due diligence.</t>
  </si>
  <si>
    <t xml:space="preserve">Nota 6</t>
  </si>
  <si>
    <t xml:space="preserve">Efectivo y conciliación</t>
  </si>
  <si>
    <t xml:space="preserve">Efectivo al último corte de abril 2026: $467,498 (Clip $111,744; BBVA $13,054; Nu $113,000; Ualá $103,000; Didi $26,700; caja $100,000). Partiendo de cero en noviembre 2024, el flujo según registros (EBITDA menos sueldo del director, gastos personales y retiros de socios) explica $463,527 al cierre de abril: diferencia de $3,971. Si el corte se tomó a mitad de mes, la diferencia es mayor (hasta ~$49,000) y en el mismo sentido; en todos los cortes disponibles desde mayo 2025 el efectivo real ha sido mayor al que explican los registros, nunca menor. La partida en conciliación del balance refleja esta diferencia. Recomendación para el comprador: cortes de caja formales al cierre de cada mes.</t>
  </si>
  <si>
    <t xml:space="preserve">Nota 7</t>
  </si>
  <si>
    <t xml:space="preserve">Pasivos y contingencias</t>
  </si>
  <si>
    <t xml:space="preserve">Según el propietario, la operadora no tiene deuda financiera y el terreno está libre de gravámenes, sujeto a la entrega del certificado oficial de libertad de gravamen del Registro Público de la Propiedad. El predio es objeto de un juicio de lesividad promovido por el Ayuntamiento de Cuernavaca; el despacho que representa a Promotora Goya evalúa el riesgo como bajo. Los honorarios legales asociados (enero–febrero 2026) están incluidos en los gastos de operación. Inventario, proveedores e impuestos por pagar están pendientes de confirmar y se muestran en cero.</t>
  </si>
  <si>
    <t xml:space="preserve">Nota 8</t>
  </si>
  <si>
    <t xml:space="preserve">Proyección</t>
  </si>
  <si>
    <t xml:space="preserve">Escenario orgánico de 3 años (junio 2026 – mayo 2029): ingresos crecen 11.5% anual (crecimiento documentado de horas de cancha ocupadas), costos crecen al mismo ritmo (margen constante), capex de mantenimiento de 3% de ingresos, ISR de 30% y sin distribuciones. No incluye la Fase 2 (alberca, cancha de tenis, casa club), cuyo potencial se describe cualitativamente en el documento de Operación y Expansión. Es una estimación, no una garantía de resultados.</t>
  </si>
  <si>
    <t xml:space="preserve">Nota 9</t>
  </si>
  <si>
    <t xml:space="preserve">Eventos posteriores</t>
  </si>
  <si>
    <t xml:space="preserve">Las cifras históricas cubren hasta mayo 2026. Los meses posteriores se pondrán a disposición del comprador en la etapa de due diligence.</t>
  </si>
  <si>
    <t xml:space="preserve">Base Mensual — Registros Operativos</t>
  </si>
  <si>
    <t xml:space="preserve">Fuente: estado de resultados interno del club (Loyverse, Clip, Playtomic, bitácora de gastos) vía Reporte_Financiero.xlsx, hoja "Datos Fuente". Texto azul = dato capturado.</t>
  </si>
  <si>
    <t xml:space="preserve">Nov-24</t>
  </si>
  <si>
    <t xml:space="preserve">Dic-24</t>
  </si>
  <si>
    <t xml:space="preserve">Ene-25</t>
  </si>
  <si>
    <t xml:space="preserve">Feb-25</t>
  </si>
  <si>
    <t xml:space="preserve">Mar-25</t>
  </si>
  <si>
    <t xml:space="preserve">Abr-25</t>
  </si>
  <si>
    <t xml:space="preserve">May-25</t>
  </si>
  <si>
    <t xml:space="preserve">Jun-25</t>
  </si>
  <si>
    <t xml:space="preserve">Jul-25</t>
  </si>
  <si>
    <t xml:space="preserve">Ago-25</t>
  </si>
  <si>
    <t xml:space="preserve">Sep-25</t>
  </si>
  <si>
    <t xml:space="preserve">Oct-25</t>
  </si>
  <si>
    <t xml:space="preserve">Nov-25</t>
  </si>
  <si>
    <t xml:space="preserve">Dic-25</t>
  </si>
  <si>
    <t xml:space="preserve">Ene-26</t>
  </si>
  <si>
    <t xml:space="preserve">Feb-26</t>
  </si>
  <si>
    <t xml:space="preserve">Mar-26</t>
  </si>
  <si>
    <t xml:space="preserve">Abr-26</t>
  </si>
  <si>
    <t xml:space="preserve">May-26</t>
  </si>
  <si>
    <t xml:space="preserve">Total 19m</t>
  </si>
  <si>
    <t xml:space="preserve">INGRESOS OPERATIVOS</t>
  </si>
  <si>
    <t xml:space="preserve">   Cancha</t>
  </si>
  <si>
    <t xml:space="preserve">   Clases</t>
  </si>
  <si>
    <t xml:space="preserve">   Bebidas</t>
  </si>
  <si>
    <t xml:space="preserve">   Pelotas</t>
  </si>
  <si>
    <t xml:space="preserve">   Cafetería</t>
  </si>
  <si>
    <t xml:space="preserve">   Botana</t>
  </si>
  <si>
    <t xml:space="preserve">   Grips y Palas</t>
  </si>
  <si>
    <t xml:space="preserve">   Sacos</t>
  </si>
  <si>
    <t xml:space="preserve">Total ingresos operativos</t>
  </si>
  <si>
    <t xml:space="preserve">EGRESOS OPERATIVOS</t>
  </si>
  <si>
    <t xml:space="preserve">   Abogado</t>
  </si>
  <si>
    <t xml:space="preserve">   Bono Empleados</t>
  </si>
  <si>
    <t xml:space="preserve">   Cambio Vidrios</t>
  </si>
  <si>
    <t xml:space="preserve">   Contador</t>
  </si>
  <si>
    <t xml:space="preserve">   Costo Limpieza Vidrios</t>
  </si>
  <si>
    <t xml:space="preserve">   Costos Inventario</t>
  </si>
  <si>
    <t xml:space="preserve">   Empleados</t>
  </si>
  <si>
    <t xml:space="preserve">   Gastos Generales</t>
  </si>
  <si>
    <t xml:space="preserve">   Insumos Cafetería</t>
  </si>
  <si>
    <t xml:space="preserve">   Limpieza general</t>
  </si>
  <si>
    <t xml:space="preserve">   Mantenimiento</t>
  </si>
  <si>
    <t xml:space="preserve">   Mejoras</t>
  </si>
  <si>
    <t xml:space="preserve">   Merchandise</t>
  </si>
  <si>
    <t xml:space="preserve">   Profesor</t>
  </si>
  <si>
    <t xml:space="preserve">   Publicidad</t>
  </si>
  <si>
    <t xml:space="preserve">   Servicios</t>
  </si>
  <si>
    <t xml:space="preserve">   Sueldo Gerente</t>
  </si>
  <si>
    <t xml:space="preserve">Total egresos operativos</t>
  </si>
  <si>
    <t xml:space="preserve">EBITDA operativo ajustado</t>
  </si>
  <si>
    <t xml:space="preserve">PARTIDAS NO OPERATIVAS (excluidas del EBITDA, sí afectan el efectivo)</t>
  </si>
  <si>
    <t xml:space="preserve">   Sueldo Director General (propietario saliente)</t>
  </si>
  <si>
    <t xml:space="preserve">   Renta personal</t>
  </si>
  <si>
    <t xml:space="preserve">   Alimentación personal</t>
  </si>
  <si>
    <t xml:space="preserve">   Transporte TAG / gasolina personal</t>
  </si>
  <si>
    <t xml:space="preserve">Gastos personales pagados por el club</t>
  </si>
  <si>
    <t xml:space="preserve">   Retiros de utilidades de socios (bitácora)</t>
  </si>
  <si>
    <t xml:space="preserve">   Fondo Apapacho — ingreso (pass-through)</t>
  </si>
  <si>
    <t xml:space="preserve">   Fondo Apapacho — egreso (pass-through)</t>
  </si>
  <si>
    <t xml:space="preserve">FLUJO SEGÚN REGISTROS</t>
  </si>
  <si>
    <t xml:space="preserve">Flujo neto del mes según registros</t>
  </si>
  <si>
    <t xml:space="preserve">Efectivo acumulado según registros (desde apertura)</t>
  </si>
  <si>
    <t xml:space="preserve">Retiros de socios según bitácora del propietario: 10-jul-25 $14,000 · 19-jul-25 $50,000 · 29-sep-25 $100,000 · 20-dic-25 $20,000 · 28-dic-25 $18,000 · 29-mar-26 $26,000 (total $228,000). Gastos personales 2024-25 = renta de vivienda, alimentación y transporte de los socios registrados en la contabilidad del club; desde enero 2026 ya no se registran.</t>
  </si>
</sst>
</file>

<file path=xl/styles.xml><?xml version="1.0" encoding="utf-8"?>
<styleSheet xmlns="http://schemas.openxmlformats.org/spreadsheetml/2006/main">
  <numFmts count="7">
    <numFmt numFmtId="164" formatCode="General"/>
    <numFmt numFmtId="165" formatCode="\$#,##0;&quot;($&quot;#,##0\);\-"/>
    <numFmt numFmtId="166" formatCode="0.0%;\(0.0%\);\-"/>
    <numFmt numFmtId="167" formatCode="#,##0"/>
    <numFmt numFmtId="168" formatCode="0.0\x"/>
    <numFmt numFmtId="169" formatCode="0"/>
    <numFmt numFmtId="170" formatCode="0.00\x"/>
  </numFmts>
  <fonts count="24">
    <font>
      <sz val="11"/>
      <color theme="1"/>
      <name val="Calibri"/>
      <family val="2"/>
      <charset val="1"/>
    </font>
    <font>
      <sz val="10"/>
      <name val="Arial"/>
      <family val="0"/>
    </font>
    <font>
      <sz val="10"/>
      <name val="Arial"/>
      <family val="0"/>
    </font>
    <font>
      <sz val="10"/>
      <name val="Arial"/>
      <family val="0"/>
    </font>
    <font>
      <b val="true"/>
      <sz val="24"/>
      <color rgb="FF1F2937"/>
      <name val="Arial"/>
      <family val="0"/>
      <charset val="1"/>
    </font>
    <font>
      <b val="true"/>
      <sz val="16"/>
      <color rgb="FFD6336C"/>
      <name val="Arial"/>
      <family val="0"/>
      <charset val="1"/>
    </font>
    <font>
      <sz val="11"/>
      <color rgb="FF6B7280"/>
      <name val="Arial"/>
      <family val="0"/>
      <charset val="1"/>
    </font>
    <font>
      <sz val="10"/>
      <color rgb="FF6B7280"/>
      <name val="Arial"/>
      <family val="0"/>
      <charset val="1"/>
    </font>
    <font>
      <b val="true"/>
      <sz val="12"/>
      <color rgb="FF1F2937"/>
      <name val="Arial"/>
      <family val="0"/>
      <charset val="1"/>
    </font>
    <font>
      <sz val="10"/>
      <color rgb="FF1F2937"/>
      <name val="Arial"/>
      <family val="0"/>
      <charset val="1"/>
    </font>
    <font>
      <sz val="10"/>
      <color rgb="FF0000FF"/>
      <name val="Arial"/>
      <family val="0"/>
      <charset val="1"/>
    </font>
    <font>
      <sz val="10"/>
      <color rgb="FF5A7D96"/>
      <name val="Arial"/>
      <family val="0"/>
      <charset val="1"/>
    </font>
    <font>
      <sz val="9"/>
      <color rgb="FF6B7280"/>
      <name val="Arial"/>
      <family val="0"/>
      <charset val="1"/>
    </font>
    <font>
      <b val="true"/>
      <sz val="10"/>
      <color rgb="FF5A7D96"/>
      <name val="Arial"/>
      <family val="0"/>
      <charset val="1"/>
    </font>
    <font>
      <b val="true"/>
      <sz val="18"/>
      <color rgb="FF1F2937"/>
      <name val="Arial"/>
      <family val="0"/>
      <charset val="1"/>
    </font>
    <font>
      <b val="true"/>
      <sz val="10"/>
      <color rgb="FFFFFFFF"/>
      <name val="Arial"/>
      <family val="0"/>
      <charset val="1"/>
    </font>
    <font>
      <b val="true"/>
      <sz val="10"/>
      <color rgb="FF1F2937"/>
      <name val="Arial"/>
      <family val="0"/>
      <charset val="1"/>
    </font>
    <font>
      <sz val="10"/>
      <color rgb="FF008000"/>
      <name val="Arial"/>
      <family val="0"/>
      <charset val="1"/>
    </font>
    <font>
      <i val="true"/>
      <sz val="10"/>
      <color rgb="FF6B7280"/>
      <name val="Arial"/>
      <family val="0"/>
      <charset val="1"/>
    </font>
    <font>
      <sz val="8"/>
      <color rgb="FF6B7280"/>
      <name val="Arial"/>
      <family val="0"/>
      <charset val="1"/>
    </font>
    <font>
      <b val="true"/>
      <sz val="9"/>
      <color rgb="FF6B7280"/>
      <name val="Arial"/>
      <family val="0"/>
      <charset val="1"/>
    </font>
    <font>
      <sz val="8"/>
      <color rgb="FFFFFFFF"/>
      <name val="Arial"/>
      <family val="0"/>
      <charset val="1"/>
    </font>
    <font>
      <b val="true"/>
      <sz val="10"/>
      <color rgb="FFD6336C"/>
      <name val="Arial"/>
      <family val="0"/>
      <charset val="1"/>
    </font>
    <font>
      <b val="true"/>
      <sz val="11"/>
      <color rgb="FF1F2937"/>
      <name val="Arial"/>
      <family val="0"/>
      <charset val="1"/>
    </font>
  </fonts>
  <fills count="7">
    <fill>
      <patternFill patternType="none"/>
    </fill>
    <fill>
      <patternFill patternType="gray125"/>
    </fill>
    <fill>
      <patternFill patternType="solid">
        <fgColor rgb="FFFFF59D"/>
        <bgColor rgb="FFFFFFCC"/>
      </patternFill>
    </fill>
    <fill>
      <patternFill patternType="solid">
        <fgColor rgb="FF1F2937"/>
        <bgColor rgb="FF333300"/>
      </patternFill>
    </fill>
    <fill>
      <patternFill patternType="solid">
        <fgColor rgb="FFE8F0FE"/>
        <bgColor rgb="FFFFFFFF"/>
      </patternFill>
    </fill>
    <fill>
      <patternFill patternType="solid">
        <fgColor rgb="FF5A7D96"/>
        <bgColor rgb="FF6B7280"/>
      </patternFill>
    </fill>
    <fill>
      <patternFill patternType="solid">
        <fgColor rgb="FFD6336C"/>
        <bgColor rgb="FF993366"/>
      </patternFill>
    </fill>
  </fills>
  <borders count="3">
    <border diagonalUp="false" diagonalDown="false">
      <left/>
      <right/>
      <top/>
      <bottom/>
      <diagonal/>
    </border>
    <border diagonalUp="false" diagonalDown="false">
      <left/>
      <right/>
      <top style="thin">
        <color rgb="FF1F2937"/>
      </top>
      <bottom/>
      <diagonal/>
    </border>
    <border diagonalUp="false" diagonalDown="false">
      <left/>
      <right/>
      <top style="thin">
        <color rgb="FF1F2937"/>
      </top>
      <bottom style="double">
        <color rgb="FF1F293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5" fillId="3" borderId="0" xfId="0" applyFont="true" applyBorder="false" applyAlignment="true" applyProtection="false">
      <alignment horizontal="left" vertical="center" textRotation="0" wrapText="true" indent="0" shrinkToFit="false"/>
      <protection locked="true" hidden="false"/>
    </xf>
    <xf numFmtId="164" fontId="15" fillId="3" borderId="0" xfId="0" applyFont="true" applyBorder="false" applyAlignment="true" applyProtection="false">
      <alignment horizontal="center" vertical="center" textRotation="0" wrapText="true" indent="0" shrinkToFit="false"/>
      <protection locked="true" hidden="false"/>
    </xf>
    <xf numFmtId="164" fontId="16"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5" fontId="10" fillId="2" borderId="0" xfId="0" applyFont="true" applyBorder="false" applyAlignment="true" applyProtection="false">
      <alignment horizontal="righ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6" fontId="10" fillId="2" borderId="0" xfId="0" applyFont="true" applyBorder="false" applyAlignment="true" applyProtection="false">
      <alignment horizontal="right" vertical="center" textRotation="0" wrapText="false" indent="0" shrinkToFit="false"/>
      <protection locked="true" hidden="false"/>
    </xf>
    <xf numFmtId="165" fontId="9" fillId="0" borderId="0" xfId="0" applyFont="true" applyBorder="false" applyAlignment="true" applyProtection="false">
      <alignment horizontal="right" vertical="center" textRotation="0" wrapText="false" indent="0" shrinkToFit="false"/>
      <protection locked="true" hidden="false"/>
    </xf>
    <xf numFmtId="165" fontId="10" fillId="0" borderId="0" xfId="0" applyFont="true" applyBorder="false" applyAlignment="true" applyProtection="false">
      <alignment horizontal="right" vertical="center"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5" fontId="16" fillId="0" borderId="1" xfId="0" applyFont="true" applyBorder="true" applyAlignment="true" applyProtection="false">
      <alignment horizontal="right" vertical="bottom" textRotation="0" wrapText="false" indent="0" shrinkToFit="false"/>
      <protection locked="true" hidden="false"/>
    </xf>
    <xf numFmtId="167" fontId="10" fillId="0" borderId="0" xfId="0" applyFont="true" applyBorder="false" applyAlignment="true" applyProtection="false">
      <alignment horizontal="right" vertical="center" textRotation="0" wrapText="false" indent="0" shrinkToFit="false"/>
      <protection locked="true" hidden="false"/>
    </xf>
    <xf numFmtId="168" fontId="10" fillId="2" borderId="0" xfId="0" applyFont="true" applyBorder="false" applyAlignment="true" applyProtection="false">
      <alignment horizontal="right" vertical="center" textRotation="0" wrapText="false" indent="0" shrinkToFit="false"/>
      <protection locked="true" hidden="false"/>
    </xf>
    <xf numFmtId="164" fontId="15" fillId="5" borderId="0" xfId="0" applyFont="true" applyBorder="false" applyAlignment="true" applyProtection="false">
      <alignment horizontal="center" vertical="center" textRotation="0" wrapText="true" indent="0" shrinkToFit="false"/>
      <protection locked="true" hidden="false"/>
    </xf>
    <xf numFmtId="169" fontId="7" fillId="0" borderId="0" xfId="0" applyFont="true" applyBorder="false" applyAlignment="true" applyProtection="false">
      <alignment horizontal="right" vertical="bottom" textRotation="0" wrapText="false" indent="0" shrinkToFit="false"/>
      <protection locked="true" hidden="false"/>
    </xf>
    <xf numFmtId="165" fontId="17" fillId="0" borderId="0" xfId="0" applyFont="true" applyBorder="false" applyAlignment="true" applyProtection="false">
      <alignment horizontal="right" vertical="bottom" textRotation="0" wrapText="false" indent="0" shrinkToFit="false"/>
      <protection locked="true" hidden="false"/>
    </xf>
    <xf numFmtId="165" fontId="9" fillId="0" borderId="0" xfId="0" applyFont="true" applyBorder="false" applyAlignment="true" applyProtection="false">
      <alignment horizontal="right" vertical="bottom" textRotation="0" wrapText="false" indent="0" shrinkToFit="false"/>
      <protection locked="true" hidden="false"/>
    </xf>
    <xf numFmtId="165" fontId="16" fillId="4" borderId="0" xfId="0" applyFont="true" applyBorder="false" applyAlignment="true" applyProtection="false">
      <alignment horizontal="right"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right" vertical="bottom" textRotation="0" wrapText="false" indent="0" shrinkToFit="false"/>
      <protection locked="true" hidden="false"/>
    </xf>
    <xf numFmtId="164" fontId="15" fillId="6" borderId="0" xfId="0" applyFont="true" applyBorder="false" applyAlignment="false" applyProtection="false">
      <alignment horizontal="general" vertical="bottom" textRotation="0" wrapText="false" indent="0" shrinkToFit="false"/>
      <protection locked="true" hidden="false"/>
    </xf>
    <xf numFmtId="165" fontId="15" fillId="6" borderId="0" xfId="0" applyFont="true" applyBorder="false" applyAlignment="true" applyProtection="false">
      <alignment horizontal="right" vertical="bottom" textRotation="0" wrapText="false" indent="0" shrinkToFit="false"/>
      <protection locked="true" hidden="false"/>
    </xf>
    <xf numFmtId="166" fontId="16" fillId="0" borderId="0" xfId="0" applyFont="true" applyBorder="false" applyAlignment="true" applyProtection="false">
      <alignment horizontal="right" vertical="bottom" textRotation="0" wrapText="false" indent="0" shrinkToFit="false"/>
      <protection locked="true" hidden="false"/>
    </xf>
    <xf numFmtId="164" fontId="15" fillId="3" borderId="0" xfId="0" applyFont="true" applyBorder="false" applyAlignment="false" applyProtection="false">
      <alignment horizontal="general" vertical="bottom" textRotation="0" wrapText="false" indent="0" shrinkToFit="false"/>
      <protection locked="true" hidden="false"/>
    </xf>
    <xf numFmtId="165" fontId="15" fillId="3" borderId="0" xfId="0" applyFont="true" applyBorder="false" applyAlignment="true" applyProtection="false">
      <alignment horizontal="right" vertical="bottom" textRotation="0" wrapText="false" indent="0" shrinkToFit="false"/>
      <protection locked="true" hidden="false"/>
    </xf>
    <xf numFmtId="165" fontId="7" fillId="0"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70" fontId="9" fillId="0" borderId="0" xfId="0" applyFont="true" applyBorder="false" applyAlignment="true" applyProtection="false">
      <alignment horizontal="right" vertical="bottom" textRotation="0" wrapText="false" indent="0" shrinkToFit="false"/>
      <protection locked="true" hidden="false"/>
    </xf>
    <xf numFmtId="165" fontId="16" fillId="0" borderId="0" xfId="0" applyFont="true" applyBorder="false" applyAlignment="true" applyProtection="false">
      <alignment horizontal="right" vertical="bottom" textRotation="0" wrapText="false" indent="0" shrinkToFit="false"/>
      <protection locked="true" hidden="false"/>
    </xf>
    <xf numFmtId="165" fontId="16" fillId="0" borderId="2" xfId="0" applyFont="true" applyBorder="true" applyAlignment="true" applyProtection="false">
      <alignment horizontal="right" vertical="bottom" textRotation="0" wrapText="false" indent="0" shrinkToFit="false"/>
      <protection locked="true" hidden="false"/>
    </xf>
    <xf numFmtId="164" fontId="19" fillId="0" borderId="0" xfId="0" applyFont="true" applyBorder="true" applyAlignment="true" applyProtection="false">
      <alignment horizontal="general" vertical="top" textRotation="0" wrapText="true" indent="0" shrinkToFit="false"/>
      <protection locked="true" hidden="false"/>
    </xf>
    <xf numFmtId="166" fontId="7" fillId="0" borderId="0" xfId="0" applyFont="true" applyBorder="false" applyAlignment="true" applyProtection="false">
      <alignment horizontal="right" vertical="bottom" textRotation="0" wrapText="false" indent="0" shrinkToFit="false"/>
      <protection locked="true" hidden="false"/>
    </xf>
    <xf numFmtId="164" fontId="16" fillId="0" borderId="0" xfId="0" applyFont="true" applyBorder="false" applyAlignment="true" applyProtection="false">
      <alignment horizontal="right"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8" fontId="17" fillId="0" borderId="0" xfId="0" applyFont="true" applyBorder="false" applyAlignment="true" applyProtection="false">
      <alignment horizontal="right" vertical="bottom" textRotation="0" wrapText="false" indent="0" shrinkToFit="false"/>
      <protection locked="true" hidden="false"/>
    </xf>
    <xf numFmtId="168" fontId="16" fillId="0" borderId="0" xfId="0" applyFont="true" applyBorder="false" applyAlignment="true" applyProtection="false">
      <alignment horizontal="right" vertical="bottom" textRotation="0" wrapText="false" indent="0" shrinkToFit="false"/>
      <protection locked="true" hidden="false"/>
    </xf>
    <xf numFmtId="168" fontId="9" fillId="0" borderId="0" xfId="0" applyFont="true" applyBorder="false" applyAlignment="true" applyProtection="false">
      <alignment horizontal="right" vertical="bottom" textRotation="0" wrapText="false" indent="0" shrinkToFit="false"/>
      <protection locked="true" hidden="false"/>
    </xf>
    <xf numFmtId="166" fontId="16" fillId="0" borderId="1" xfId="0" applyFont="true" applyBorder="true" applyAlignment="true" applyProtection="false">
      <alignment horizontal="right" vertical="bottom" textRotation="0" wrapText="false" indent="0" shrinkToFit="false"/>
      <protection locked="true" hidden="false"/>
    </xf>
    <xf numFmtId="170" fontId="16" fillId="0" borderId="0" xfId="0" applyFont="true" applyBorder="false" applyAlignment="true" applyProtection="false">
      <alignment horizontal="right"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5" fontId="16" fillId="0" borderId="0" xfId="0" applyFont="true" applyBorder="false" applyAlignment="true" applyProtection="false">
      <alignment horizontal="left" vertical="bottom" textRotation="0" wrapText="false" indent="0" shrinkToFit="false"/>
      <protection locked="true" hidden="false"/>
    </xf>
    <xf numFmtId="165" fontId="2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5" fontId="10" fillId="0"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A7D96"/>
      <rgbColor rgb="FF9999FF"/>
      <rgbColor rgb="FFD6336C"/>
      <rgbColor rgb="FFFFFFCC"/>
      <rgbColor rgb="FFE8F0F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59D"/>
      <rgbColor rgb="FF99CCFF"/>
      <rgbColor rgb="FFFF99CC"/>
      <rgbColor rgb="FFCC99FF"/>
      <rgbColor rgb="FFFFCC99"/>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937"/>
    <pageSetUpPr fitToPage="true"/>
  </sheetPr>
  <dimension ref="B3:B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0"/>
  </cols>
  <sheetData>
    <row r="3" customFormat="false" ht="29.15" hidden="false" customHeight="false" outlineLevel="0" collapsed="false">
      <c r="B3" s="1" t="s">
        <v>0</v>
      </c>
    </row>
    <row r="5" customFormat="false" ht="19.7" hidden="false" customHeight="false" outlineLevel="0" collapsed="false">
      <c r="B5" s="2" t="s">
        <v>1</v>
      </c>
    </row>
    <row r="6" customFormat="false" ht="15" hidden="false" customHeight="false" outlineLevel="0" collapsed="false">
      <c r="B6" s="3" t="s">
        <v>2</v>
      </c>
    </row>
    <row r="8" customFormat="false" ht="23.85" hidden="false" customHeight="false" outlineLevel="0" collapsed="false">
      <c r="B8" s="4" t="s">
        <v>3</v>
      </c>
    </row>
    <row r="10" customFormat="false" ht="15" hidden="false" customHeight="false" outlineLevel="0" collapsed="false">
      <c r="B10" s="5" t="s">
        <v>4</v>
      </c>
    </row>
    <row r="11" customFormat="false" ht="15" hidden="false" customHeight="false" outlineLevel="0" collapsed="false">
      <c r="B11" s="6" t="s">
        <v>5</v>
      </c>
    </row>
    <row r="12" customFormat="false" ht="15" hidden="false" customHeight="false" outlineLevel="0" collapsed="false">
      <c r="B12" s="6" t="s">
        <v>6</v>
      </c>
    </row>
    <row r="13" customFormat="false" ht="15" hidden="false" customHeight="false" outlineLevel="0" collapsed="false">
      <c r="B13" s="6" t="s">
        <v>7</v>
      </c>
    </row>
    <row r="14" customFormat="false" ht="15" hidden="false" customHeight="false" outlineLevel="0" collapsed="false">
      <c r="B14" s="6" t="s">
        <v>8</v>
      </c>
    </row>
    <row r="15" customFormat="false" ht="15" hidden="false" customHeight="false" outlineLevel="0" collapsed="false">
      <c r="B15" s="6" t="s">
        <v>9</v>
      </c>
    </row>
    <row r="16" customFormat="false" ht="15" hidden="false" customHeight="false" outlineLevel="0" collapsed="false">
      <c r="B16" s="6" t="s">
        <v>10</v>
      </c>
    </row>
    <row r="17" customFormat="false" ht="15" hidden="false" customHeight="false" outlineLevel="0" collapsed="false">
      <c r="B17" s="6" t="s">
        <v>11</v>
      </c>
    </row>
    <row r="19" customFormat="false" ht="15" hidden="false" customHeight="false" outlineLevel="0" collapsed="false">
      <c r="B19" s="5" t="s">
        <v>12</v>
      </c>
    </row>
    <row r="20" customFormat="false" ht="15" hidden="false" customHeight="false" outlineLevel="0" collapsed="false">
      <c r="B20" s="7" t="s">
        <v>13</v>
      </c>
    </row>
    <row r="21" customFormat="false" ht="15" hidden="false" customHeight="false" outlineLevel="0" collapsed="false">
      <c r="B21" s="8" t="s">
        <v>14</v>
      </c>
    </row>
    <row r="22" customFormat="false" ht="15" hidden="false" customHeight="false" outlineLevel="0" collapsed="false">
      <c r="B22" s="9" t="s">
        <v>15</v>
      </c>
    </row>
    <row r="23" customFormat="false" ht="15" hidden="false" customHeight="false" outlineLevel="0" collapsed="false">
      <c r="B23" s="6" t="s">
        <v>16</v>
      </c>
    </row>
    <row r="26" customFormat="false" ht="39.75" hidden="false" customHeight="true" outlineLevel="0" collapsed="false">
      <c r="B26" s="10" t="s">
        <v>17</v>
      </c>
    </row>
    <row r="28" customFormat="false" ht="15" hidden="false" customHeight="false" outlineLevel="0" collapsed="false">
      <c r="B28" s="11" t="s">
        <v>18</v>
      </c>
    </row>
    <row r="29" customFormat="false" ht="27.75" hidden="false" customHeight="true" outlineLevel="0" collapsed="false">
      <c r="B29" s="10" t="s">
        <v>19</v>
      </c>
    </row>
    <row r="31" customFormat="false" ht="15" hidden="false" customHeight="false" outlineLevel="0" collapsed="false">
      <c r="B31" s="11" t="s">
        <v>20</v>
      </c>
    </row>
    <row r="32" customFormat="false" ht="15" hidden="false" customHeight="false" outlineLevel="0" collapsed="false">
      <c r="B32" s="6" t="s">
        <v>21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937"/>
    <pageSetUpPr fitToPage="true"/>
  </sheetPr>
  <dimension ref="B2:D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8"/>
    <col collapsed="false" customWidth="true" hidden="false" outlineLevel="0" max="3" min="3" style="0" width="16"/>
    <col collapsed="false" customWidth="true" hidden="false" outlineLevel="0" max="4" min="4" style="0" width="80"/>
  </cols>
  <sheetData>
    <row r="2" customFormat="false" ht="25.5" hidden="false" customHeight="true" outlineLevel="0" collapsed="false">
      <c r="B2" s="12" t="s">
        <v>22</v>
      </c>
    </row>
    <row r="3" customFormat="false" ht="15" hidden="false" customHeight="false" outlineLevel="0" collapsed="false">
      <c r="B3" s="13" t="s">
        <v>23</v>
      </c>
    </row>
    <row r="5" customFormat="false" ht="30" hidden="false" customHeight="true" outlineLevel="0" collapsed="false">
      <c r="B5" s="14" t="s">
        <v>24</v>
      </c>
      <c r="C5" s="15" t="s">
        <v>25</v>
      </c>
      <c r="D5" s="15" t="s">
        <v>26</v>
      </c>
    </row>
    <row r="6" customFormat="false" ht="15" hidden="false" customHeight="false" outlineLevel="0" collapsed="false">
      <c r="B6" s="16" t="s">
        <v>27</v>
      </c>
      <c r="C6" s="17"/>
      <c r="D6" s="17"/>
    </row>
    <row r="7" customFormat="false" ht="30" hidden="false" customHeight="true" outlineLevel="0" collapsed="false">
      <c r="B7" s="18" t="s">
        <v>28</v>
      </c>
      <c r="C7" s="19" t="n">
        <v>9128124</v>
      </c>
      <c r="D7" s="20" t="s">
        <v>29</v>
      </c>
    </row>
    <row r="8" customFormat="false" ht="30" hidden="false" customHeight="true" outlineLevel="0" collapsed="false">
      <c r="B8" s="18" t="s">
        <v>30</v>
      </c>
      <c r="C8" s="21" t="n">
        <v>0.1</v>
      </c>
      <c r="D8" s="20" t="s">
        <v>31</v>
      </c>
    </row>
    <row r="9" customFormat="false" ht="30" hidden="false" customHeight="true" outlineLevel="0" collapsed="false">
      <c r="B9" s="18" t="s">
        <v>32</v>
      </c>
      <c r="C9" s="22" t="n">
        <f aca="false">Supuestos!C7*Supuestos!C8/12</f>
        <v>76067.7</v>
      </c>
      <c r="D9" s="20" t="s">
        <v>33</v>
      </c>
    </row>
    <row r="10" customFormat="false" ht="15" hidden="false" customHeight="false" outlineLevel="0" collapsed="false">
      <c r="B10" s="16" t="s">
        <v>34</v>
      </c>
      <c r="C10" s="17"/>
      <c r="D10" s="17"/>
    </row>
    <row r="11" customFormat="false" ht="30" hidden="false" customHeight="true" outlineLevel="0" collapsed="false">
      <c r="B11" s="18" t="s">
        <v>35</v>
      </c>
      <c r="C11" s="21" t="n">
        <v>0.3</v>
      </c>
      <c r="D11" s="20" t="s">
        <v>36</v>
      </c>
    </row>
    <row r="12" customFormat="false" ht="15" hidden="false" customHeight="false" outlineLevel="0" collapsed="false">
      <c r="B12" s="16" t="s">
        <v>37</v>
      </c>
      <c r="C12" s="17"/>
      <c r="D12" s="17"/>
    </row>
    <row r="13" customFormat="false" ht="30" hidden="false" customHeight="true" outlineLevel="0" collapsed="false">
      <c r="B13" s="18" t="s">
        <v>38</v>
      </c>
      <c r="C13" s="21" t="n">
        <v>0.115</v>
      </c>
      <c r="D13" s="20" t="s">
        <v>39</v>
      </c>
    </row>
    <row r="14" customFormat="false" ht="30" hidden="false" customHeight="true" outlineLevel="0" collapsed="false">
      <c r="B14" s="18" t="s">
        <v>40</v>
      </c>
      <c r="C14" s="21" t="n">
        <v>0.03</v>
      </c>
      <c r="D14" s="20" t="s">
        <v>41</v>
      </c>
    </row>
    <row r="15" customFormat="false" ht="30" hidden="false" customHeight="true" outlineLevel="0" collapsed="false">
      <c r="B15" s="18" t="s">
        <v>42</v>
      </c>
      <c r="C15" s="21" t="n">
        <v>0</v>
      </c>
      <c r="D15" s="20" t="s">
        <v>43</v>
      </c>
    </row>
    <row r="16" customFormat="false" ht="30" hidden="false" customHeight="true" outlineLevel="0" collapsed="false">
      <c r="B16" s="18" t="s">
        <v>44</v>
      </c>
      <c r="C16" s="19" t="n">
        <v>0</v>
      </c>
      <c r="D16" s="20" t="s">
        <v>45</v>
      </c>
    </row>
    <row r="17" customFormat="false" ht="15" hidden="false" customHeight="false" outlineLevel="0" collapsed="false">
      <c r="B17" s="16" t="s">
        <v>46</v>
      </c>
      <c r="C17" s="17"/>
      <c r="D17" s="17"/>
    </row>
    <row r="18" customFormat="false" ht="30" hidden="false" customHeight="true" outlineLevel="0" collapsed="false">
      <c r="B18" s="18" t="s">
        <v>47</v>
      </c>
      <c r="C18" s="19" t="n">
        <v>0</v>
      </c>
      <c r="D18" s="20" t="s">
        <v>48</v>
      </c>
    </row>
    <row r="19" customFormat="false" ht="30" hidden="false" customHeight="true" outlineLevel="0" collapsed="false">
      <c r="B19" s="18" t="s">
        <v>49</v>
      </c>
      <c r="C19" s="19" t="n">
        <v>0</v>
      </c>
      <c r="D19" s="20" t="s">
        <v>50</v>
      </c>
    </row>
    <row r="20" customFormat="false" ht="30" hidden="false" customHeight="true" outlineLevel="0" collapsed="false">
      <c r="B20" s="18" t="s">
        <v>51</v>
      </c>
      <c r="C20" s="19" t="n">
        <v>0</v>
      </c>
      <c r="D20" s="20" t="s">
        <v>52</v>
      </c>
    </row>
    <row r="21" customFormat="false" ht="30" hidden="false" customHeight="true" outlineLevel="0" collapsed="false">
      <c r="B21" s="18" t="s">
        <v>53</v>
      </c>
      <c r="C21" s="19" t="n">
        <v>0</v>
      </c>
      <c r="D21" s="20" t="s">
        <v>54</v>
      </c>
    </row>
    <row r="22" customFormat="false" ht="30" hidden="false" customHeight="true" outlineLevel="0" collapsed="false">
      <c r="B22" s="18" t="s">
        <v>55</v>
      </c>
      <c r="C22" s="19" t="n">
        <v>0</v>
      </c>
      <c r="D22" s="20" t="s">
        <v>56</v>
      </c>
    </row>
    <row r="23" customFormat="false" ht="15" hidden="false" customHeight="false" outlineLevel="0" collapsed="false">
      <c r="B23" s="16" t="s">
        <v>57</v>
      </c>
      <c r="C23" s="17"/>
      <c r="D23" s="17"/>
    </row>
    <row r="24" customFormat="false" ht="30" hidden="false" customHeight="true" outlineLevel="0" collapsed="false">
      <c r="B24" s="18" t="s">
        <v>58</v>
      </c>
      <c r="C24" s="23" t="n">
        <v>111744</v>
      </c>
      <c r="D24" s="20" t="s">
        <v>59</v>
      </c>
    </row>
    <row r="25" customFormat="false" ht="30" hidden="false" customHeight="true" outlineLevel="0" collapsed="false">
      <c r="B25" s="18" t="s">
        <v>60</v>
      </c>
      <c r="C25" s="23" t="n">
        <v>13054</v>
      </c>
      <c r="D25" s="20" t="s">
        <v>59</v>
      </c>
    </row>
    <row r="26" customFormat="false" ht="30" hidden="false" customHeight="true" outlineLevel="0" collapsed="false">
      <c r="B26" s="18" t="s">
        <v>61</v>
      </c>
      <c r="C26" s="23" t="n">
        <v>113000</v>
      </c>
      <c r="D26" s="20" t="s">
        <v>59</v>
      </c>
    </row>
    <row r="27" customFormat="false" ht="30" hidden="false" customHeight="true" outlineLevel="0" collapsed="false">
      <c r="B27" s="18" t="s">
        <v>62</v>
      </c>
      <c r="C27" s="23" t="n">
        <v>103000</v>
      </c>
      <c r="D27" s="20" t="s">
        <v>59</v>
      </c>
    </row>
    <row r="28" customFormat="false" ht="30" hidden="false" customHeight="true" outlineLevel="0" collapsed="false">
      <c r="B28" s="18" t="s">
        <v>63</v>
      </c>
      <c r="C28" s="23" t="n">
        <v>26700</v>
      </c>
      <c r="D28" s="20" t="s">
        <v>59</v>
      </c>
    </row>
    <row r="29" customFormat="false" ht="30" hidden="false" customHeight="true" outlineLevel="0" collapsed="false">
      <c r="B29" s="18" t="s">
        <v>64</v>
      </c>
      <c r="C29" s="23" t="n">
        <v>100000</v>
      </c>
      <c r="D29" s="20" t="s">
        <v>59</v>
      </c>
    </row>
    <row r="30" customFormat="false" ht="15" hidden="false" customHeight="false" outlineLevel="0" collapsed="false">
      <c r="B30" s="24" t="s">
        <v>65</v>
      </c>
      <c r="C30" s="25" t="n">
        <f aca="false">SUM(C24:C29)</f>
        <v>467498</v>
      </c>
    </row>
    <row r="32" customFormat="false" ht="15" hidden="false" customHeight="false" outlineLevel="0" collapsed="false">
      <c r="B32" s="16" t="s">
        <v>66</v>
      </c>
      <c r="C32" s="17"/>
      <c r="D32" s="17"/>
    </row>
    <row r="33" customFormat="false" ht="30" hidden="false" customHeight="true" outlineLevel="0" collapsed="false">
      <c r="B33" s="18" t="s">
        <v>67</v>
      </c>
      <c r="C33" s="26" t="n">
        <v>3762</v>
      </c>
      <c r="D33" s="20" t="s">
        <v>68</v>
      </c>
    </row>
    <row r="34" customFormat="false" ht="30" hidden="false" customHeight="true" outlineLevel="0" collapsed="false">
      <c r="B34" s="18" t="s">
        <v>69</v>
      </c>
      <c r="C34" s="19" t="n">
        <v>7000</v>
      </c>
      <c r="D34" s="20" t="s">
        <v>70</v>
      </c>
    </row>
    <row r="35" customFormat="false" ht="30" hidden="false" customHeight="true" outlineLevel="0" collapsed="false">
      <c r="B35" s="18" t="s">
        <v>71</v>
      </c>
      <c r="C35" s="19" t="n">
        <v>8000</v>
      </c>
      <c r="D35" s="20" t="s">
        <v>72</v>
      </c>
    </row>
    <row r="36" customFormat="false" ht="30" hidden="false" customHeight="true" outlineLevel="0" collapsed="false">
      <c r="B36" s="18" t="s">
        <v>73</v>
      </c>
      <c r="C36" s="19" t="n">
        <v>9500</v>
      </c>
      <c r="D36" s="20" t="s">
        <v>72</v>
      </c>
    </row>
    <row r="37" customFormat="false" ht="30" hidden="false" customHeight="true" outlineLevel="0" collapsed="false">
      <c r="B37" s="18" t="s">
        <v>74</v>
      </c>
      <c r="C37" s="27" t="n">
        <v>5</v>
      </c>
      <c r="D37" s="20" t="s">
        <v>75</v>
      </c>
    </row>
    <row r="38" customFormat="false" ht="30" hidden="false" customHeight="true" outlineLevel="0" collapsed="false">
      <c r="B38" s="18" t="s">
        <v>76</v>
      </c>
      <c r="C38" s="27" t="n">
        <v>6.5</v>
      </c>
      <c r="D38" s="20" t="s">
        <v>72</v>
      </c>
    </row>
    <row r="39" customFormat="false" ht="30" hidden="false" customHeight="true" outlineLevel="0" collapsed="false">
      <c r="B39" s="18" t="s">
        <v>77</v>
      </c>
      <c r="C39" s="27" t="n">
        <v>8</v>
      </c>
      <c r="D39" s="20" t="s">
        <v>72</v>
      </c>
    </row>
    <row r="40" customFormat="false" ht="30" hidden="false" customHeight="true" outlineLevel="0" collapsed="false">
      <c r="B40" s="18" t="s">
        <v>78</v>
      </c>
      <c r="C40" s="23" t="n">
        <v>33000000</v>
      </c>
      <c r="D40" s="20" t="s">
        <v>79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336C"/>
    <pageSetUpPr fitToPage="true"/>
  </sheetPr>
  <dimension ref="B2:J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0"/>
    <col collapsed="false" customWidth="true" hidden="false" outlineLevel="0" max="5" min="3" style="0" width="14"/>
    <col collapsed="false" customWidth="true" hidden="false" outlineLevel="0" max="6" min="6" style="0" width="15"/>
    <col collapsed="false" customWidth="true" hidden="false" outlineLevel="0" max="7" min="7" style="0" width="2"/>
    <col collapsed="false" customWidth="true" hidden="false" outlineLevel="0" max="10" min="8" style="0" width="14"/>
  </cols>
  <sheetData>
    <row r="2" customFormat="false" ht="25.5" hidden="false" customHeight="true" outlineLevel="0" collapsed="false">
      <c r="B2" s="12" t="s">
        <v>80</v>
      </c>
    </row>
    <row r="3" customFormat="false" ht="15" hidden="false" customHeight="false" outlineLevel="0" collapsed="false">
      <c r="B3" s="13" t="s">
        <v>81</v>
      </c>
    </row>
    <row r="5" customFormat="false" ht="30" hidden="false" customHeight="true" outlineLevel="0" collapsed="false">
      <c r="B5" s="14" t="s">
        <v>82</v>
      </c>
      <c r="C5" s="15" t="s">
        <v>83</v>
      </c>
      <c r="D5" s="15" t="s">
        <v>84</v>
      </c>
      <c r="E5" s="15" t="s">
        <v>85</v>
      </c>
      <c r="F5" s="15" t="s">
        <v>86</v>
      </c>
      <c r="H5" s="28" t="s">
        <v>87</v>
      </c>
      <c r="I5" s="28" t="s">
        <v>88</v>
      </c>
      <c r="J5" s="28" t="s">
        <v>89</v>
      </c>
    </row>
    <row r="6" customFormat="false" ht="15" hidden="false" customHeight="false" outlineLevel="0" collapsed="false">
      <c r="B6" s="13" t="s">
        <v>90</v>
      </c>
      <c r="C6" s="29" t="n">
        <v>2</v>
      </c>
      <c r="D6" s="29" t="n">
        <v>12</v>
      </c>
      <c r="E6" s="29" t="n">
        <v>5</v>
      </c>
      <c r="F6" s="29" t="n">
        <v>12</v>
      </c>
      <c r="H6" s="29" t="n">
        <v>12</v>
      </c>
      <c r="I6" s="29" t="n">
        <v>12</v>
      </c>
      <c r="J6" s="29" t="n">
        <v>12</v>
      </c>
    </row>
    <row r="8" customFormat="false" ht="15" hidden="false" customHeight="false" outlineLevel="0" collapsed="false">
      <c r="B8" s="24" t="s">
        <v>91</v>
      </c>
    </row>
    <row r="9" customFormat="false" ht="15" hidden="false" customHeight="false" outlineLevel="0" collapsed="false">
      <c r="B9" s="6" t="s">
        <v>92</v>
      </c>
      <c r="C9" s="30" t="n">
        <f aca="false">SUM('Base Mensual'!C7:D7)</f>
        <v>177236.85</v>
      </c>
      <c r="D9" s="30" t="n">
        <f aca="false">SUM('Base Mensual'!E7:P7)</f>
        <v>1317468</v>
      </c>
      <c r="E9" s="30" t="n">
        <f aca="false">SUM('Base Mensual'!Q7:U7)</f>
        <v>566149.02</v>
      </c>
      <c r="F9" s="30" t="n">
        <f aca="false">SUM('Base Mensual'!J7:U7)</f>
        <v>1359417.02</v>
      </c>
      <c r="H9" s="31" t="n">
        <f aca="false">$F9*(1+Supuestos!$C$13)^1</f>
        <v>1515749.9773</v>
      </c>
      <c r="I9" s="31" t="n">
        <f aca="false">$F9*(1+Supuestos!$C$13)^2</f>
        <v>1690061.2246895</v>
      </c>
      <c r="J9" s="31" t="n">
        <f aca="false">$F9*(1+Supuestos!$C$13)^3</f>
        <v>1884418.26552879</v>
      </c>
    </row>
    <row r="10" customFormat="false" ht="15" hidden="false" customHeight="false" outlineLevel="0" collapsed="false">
      <c r="B10" s="6" t="s">
        <v>93</v>
      </c>
      <c r="C10" s="30" t="n">
        <f aca="false">SUM('Base Mensual'!C8:D8)</f>
        <v>19400</v>
      </c>
      <c r="D10" s="30" t="n">
        <f aca="false">SUM('Base Mensual'!E8:P8)</f>
        <v>405500</v>
      </c>
      <c r="E10" s="30" t="n">
        <f aca="false">SUM('Base Mensual'!Q8:U8)</f>
        <v>271300</v>
      </c>
      <c r="F10" s="30" t="n">
        <f aca="false">SUM('Base Mensual'!J8:U8)</f>
        <v>548900</v>
      </c>
      <c r="H10" s="31" t="n">
        <f aca="false">$F10*(1+Supuestos!$C$13)^1</f>
        <v>612023.5</v>
      </c>
      <c r="I10" s="31" t="n">
        <f aca="false">$F10*(1+Supuestos!$C$13)^2</f>
        <v>682406.2025</v>
      </c>
      <c r="J10" s="31" t="n">
        <f aca="false">$F10*(1+Supuestos!$C$13)^3</f>
        <v>760882.9157875</v>
      </c>
    </row>
    <row r="11" customFormat="false" ht="15" hidden="false" customHeight="false" outlineLevel="0" collapsed="false">
      <c r="B11" s="6" t="s">
        <v>94</v>
      </c>
      <c r="C11" s="30" t="n">
        <f aca="false">SUM('Base Mensual'!C9:D9)+SUM('Base Mensual'!C11:D11)+SUM('Base Mensual'!C12:D12)</f>
        <v>28416</v>
      </c>
      <c r="D11" s="30" t="n">
        <f aca="false">SUM('Base Mensual'!E9:P9)+SUM('Base Mensual'!E11:P11)+SUM('Base Mensual'!E12:P12)</f>
        <v>353305</v>
      </c>
      <c r="E11" s="30" t="n">
        <f aca="false">SUM('Base Mensual'!Q9:U9)+SUM('Base Mensual'!Q11:U11)+SUM('Base Mensual'!Q12:U12)</f>
        <v>166012.43</v>
      </c>
      <c r="F11" s="30" t="n">
        <f aca="false">SUM('Base Mensual'!J9:U9)+SUM('Base Mensual'!J11:U11)+SUM('Base Mensual'!J12:U12)</f>
        <v>407412.43</v>
      </c>
      <c r="H11" s="31" t="n">
        <f aca="false">$F11*(1+Supuestos!$C$13)^1</f>
        <v>454264.85945</v>
      </c>
      <c r="I11" s="31" t="n">
        <f aca="false">$F11*(1+Supuestos!$C$13)^2</f>
        <v>506505.31828675</v>
      </c>
      <c r="J11" s="31" t="n">
        <f aca="false">$F11*(1+Supuestos!$C$13)^3</f>
        <v>564753.429889726</v>
      </c>
    </row>
    <row r="12" customFormat="false" ht="15" hidden="false" customHeight="false" outlineLevel="0" collapsed="false">
      <c r="B12" s="6" t="s">
        <v>95</v>
      </c>
      <c r="C12" s="30" t="n">
        <f aca="false">SUM('Base Mensual'!C10:D10)+SUM('Base Mensual'!C13:D13)+SUM('Base Mensual'!C14:D14)</f>
        <v>18394</v>
      </c>
      <c r="D12" s="30" t="n">
        <f aca="false">SUM('Base Mensual'!E10:P10)+SUM('Base Mensual'!E13:P13)+SUM('Base Mensual'!E14:P14)</f>
        <v>168057</v>
      </c>
      <c r="E12" s="30" t="n">
        <f aca="false">SUM('Base Mensual'!Q10:U10)+SUM('Base Mensual'!Q13:U13)+SUM('Base Mensual'!Q14:U14)</f>
        <v>77444.28</v>
      </c>
      <c r="F12" s="30" t="n">
        <f aca="false">SUM('Base Mensual'!J10:U10)+SUM('Base Mensual'!J13:U13)+SUM('Base Mensual'!J14:U14)</f>
        <v>191687.28</v>
      </c>
      <c r="H12" s="31" t="n">
        <f aca="false">$F12*(1+Supuestos!$C$13)^1</f>
        <v>213731.3172</v>
      </c>
      <c r="I12" s="31" t="n">
        <f aca="false">$F12*(1+Supuestos!$C$13)^2</f>
        <v>238310.418678</v>
      </c>
      <c r="J12" s="31" t="n">
        <f aca="false">$F12*(1+Supuestos!$C$13)^3</f>
        <v>265716.11682597</v>
      </c>
    </row>
    <row r="13" customFormat="false" ht="15" hidden="false" customHeight="false" outlineLevel="0" collapsed="false">
      <c r="B13" s="16" t="s">
        <v>96</v>
      </c>
      <c r="C13" s="32" t="n">
        <f aca="false">SUM(C9:C12)</f>
        <v>243446.85</v>
      </c>
      <c r="D13" s="32" t="n">
        <f aca="false">SUM(D9:D12)</f>
        <v>2244330</v>
      </c>
      <c r="E13" s="32" t="n">
        <f aca="false">SUM(E9:E12)</f>
        <v>1080905.73</v>
      </c>
      <c r="F13" s="32" t="n">
        <f aca="false">SUM(F9:F12)</f>
        <v>2507416.73</v>
      </c>
      <c r="H13" s="32" t="n">
        <f aca="false">SUM(H9:H12)</f>
        <v>2795769.65395</v>
      </c>
      <c r="I13" s="32" t="n">
        <f aca="false">SUM(I9:I12)</f>
        <v>3117283.16415425</v>
      </c>
      <c r="J13" s="32" t="n">
        <f aca="false">SUM(J9:J12)</f>
        <v>3475770.72803199</v>
      </c>
    </row>
    <row r="14" customFormat="false" ht="15" hidden="false" customHeight="false" outlineLevel="0" collapsed="false">
      <c r="B14" s="33" t="s">
        <v>97</v>
      </c>
      <c r="C14" s="31" t="n">
        <f aca="false">C13/C6</f>
        <v>121723.425</v>
      </c>
      <c r="D14" s="31" t="n">
        <f aca="false">D13/D6</f>
        <v>187027.5</v>
      </c>
      <c r="E14" s="31" t="n">
        <f aca="false">E13/E6</f>
        <v>216181.146</v>
      </c>
      <c r="F14" s="31" t="n">
        <f aca="false">F13/F6</f>
        <v>208951.394166667</v>
      </c>
      <c r="H14" s="31" t="n">
        <f aca="false">H13/H6</f>
        <v>232980.804495833</v>
      </c>
      <c r="I14" s="31" t="n">
        <f aca="false">I13/I6</f>
        <v>259773.597012854</v>
      </c>
      <c r="J14" s="31" t="n">
        <f aca="false">J13/J6</f>
        <v>289647.560669332</v>
      </c>
    </row>
    <row r="15" customFormat="false" ht="15" hidden="false" customHeight="false" outlineLevel="0" collapsed="false">
      <c r="B15" s="33" t="s">
        <v>38</v>
      </c>
      <c r="H15" s="34" t="n">
        <f aca="false">H13/F13-1</f>
        <v>0.115</v>
      </c>
      <c r="I15" s="34" t="n">
        <f aca="false">I13/H13-1</f>
        <v>0.115</v>
      </c>
      <c r="J15" s="34" t="n">
        <f aca="false">J13/I13-1</f>
        <v>0.115</v>
      </c>
    </row>
    <row r="17" customFormat="false" ht="15" hidden="false" customHeight="false" outlineLevel="0" collapsed="false">
      <c r="B17" s="24" t="s">
        <v>98</v>
      </c>
    </row>
    <row r="18" customFormat="false" ht="15" hidden="false" customHeight="false" outlineLevel="0" collapsed="false">
      <c r="B18" s="6" t="s">
        <v>99</v>
      </c>
      <c r="C18" s="30" t="n">
        <f aca="false">SUM('Base Mensual'!C23:D23)+SUM('Base Mensual'!C26:D26)+SUM('Base Mensual'!C30:D30)</f>
        <v>22098.69</v>
      </c>
      <c r="D18" s="30" t="n">
        <f aca="false">SUM('Base Mensual'!E23:P23)+SUM('Base Mensual'!E26:P26)+SUM('Base Mensual'!E30:P30)</f>
        <v>248434.42</v>
      </c>
      <c r="E18" s="30" t="n">
        <f aca="false">SUM('Base Mensual'!Q23:U23)+SUM('Base Mensual'!Q26:U26)+SUM('Base Mensual'!Q30:U30)</f>
        <v>135267.8</v>
      </c>
      <c r="F18" s="30" t="n">
        <f aca="false">SUM('Base Mensual'!J23:U23)+SUM('Base Mensual'!J26:U26)+SUM('Base Mensual'!J30:U30)</f>
        <v>297532.22</v>
      </c>
      <c r="H18" s="31" t="n">
        <f aca="false">$F18*(1+Supuestos!$C$13)^1</f>
        <v>331748.4253</v>
      </c>
      <c r="I18" s="31" t="n">
        <f aca="false">$F18*(1+Supuestos!$C$13)^2</f>
        <v>369899.4942095</v>
      </c>
      <c r="J18" s="31" t="n">
        <f aca="false">$F18*(1+Supuestos!$C$13)^3</f>
        <v>412437.936043592</v>
      </c>
    </row>
    <row r="19" customFormat="false" ht="15" hidden="false" customHeight="false" outlineLevel="0" collapsed="false">
      <c r="B19" s="6" t="s">
        <v>100</v>
      </c>
      <c r="C19" s="30" t="n">
        <f aca="false">SUM('Base Mensual'!C31:D31)</f>
        <v>12692</v>
      </c>
      <c r="D19" s="30" t="n">
        <f aca="false">SUM('Base Mensual'!E31:P31)</f>
        <v>148424.75</v>
      </c>
      <c r="E19" s="30" t="n">
        <f aca="false">SUM('Base Mensual'!Q31:U31)</f>
        <v>143654</v>
      </c>
      <c r="F19" s="30" t="n">
        <f aca="false">SUM('Base Mensual'!J31:U31)</f>
        <v>249871.75</v>
      </c>
      <c r="H19" s="31" t="n">
        <f aca="false">$F19*(1+Supuestos!$C$13)^1</f>
        <v>278607.00125</v>
      </c>
      <c r="I19" s="31" t="n">
        <f aca="false">$F19*(1+Supuestos!$C$13)^2</f>
        <v>310646.80639375</v>
      </c>
      <c r="J19" s="31" t="n">
        <f aca="false">$F19*(1+Supuestos!$C$13)^3</f>
        <v>346371.189129031</v>
      </c>
    </row>
    <row r="20" customFormat="false" ht="15" hidden="false" customHeight="false" outlineLevel="0" collapsed="false">
      <c r="B20" s="16" t="s">
        <v>101</v>
      </c>
      <c r="C20" s="32" t="n">
        <f aca="false">C13-C18-C19</f>
        <v>208656.16</v>
      </c>
      <c r="D20" s="32" t="n">
        <f aca="false">D13-D18-D19</f>
        <v>1847470.83</v>
      </c>
      <c r="E20" s="32" t="n">
        <f aca="false">E13-E18-E19</f>
        <v>801983.93</v>
      </c>
      <c r="F20" s="32" t="n">
        <f aca="false">F13-F18-F19</f>
        <v>1960012.76</v>
      </c>
      <c r="H20" s="32" t="n">
        <f aca="false">H13-H18-H19</f>
        <v>2185414.2274</v>
      </c>
      <c r="I20" s="32" t="n">
        <f aca="false">I13-I18-I19</f>
        <v>2436736.863551</v>
      </c>
      <c r="J20" s="32" t="n">
        <f aca="false">J13-J18-J19</f>
        <v>2716961.60285937</v>
      </c>
    </row>
    <row r="21" customFormat="false" ht="15" hidden="false" customHeight="false" outlineLevel="0" collapsed="false">
      <c r="B21" s="6" t="s">
        <v>102</v>
      </c>
      <c r="C21" s="34" t="n">
        <f aca="false">IF(C13=0,0,C20/C13)</f>
        <v>0.857091229564071</v>
      </c>
      <c r="D21" s="34" t="n">
        <f aca="false">IF(D13=0,0,D20/D13)</f>
        <v>0.823172541471174</v>
      </c>
      <c r="E21" s="34" t="n">
        <f aca="false">IF(E13=0,0,E20/E13)</f>
        <v>0.741955480243407</v>
      </c>
      <c r="F21" s="34" t="n">
        <f aca="false">IF(F13=0,0,F20/F13)</f>
        <v>0.781686082153564</v>
      </c>
      <c r="H21" s="34" t="n">
        <f aca="false">IF(H13=0,0,H20/H13)</f>
        <v>0.781686082153564</v>
      </c>
      <c r="I21" s="34" t="n">
        <f aca="false">IF(I13=0,0,I20/I13)</f>
        <v>0.781686082153564</v>
      </c>
      <c r="J21" s="34" t="n">
        <f aca="false">IF(J13=0,0,J20/J13)</f>
        <v>0.781686082153564</v>
      </c>
    </row>
    <row r="23" customFormat="false" ht="15" hidden="false" customHeight="false" outlineLevel="0" collapsed="false">
      <c r="B23" s="24" t="s">
        <v>103</v>
      </c>
    </row>
    <row r="24" customFormat="false" ht="15" hidden="false" customHeight="false" outlineLevel="0" collapsed="false">
      <c r="B24" s="6" t="s">
        <v>104</v>
      </c>
      <c r="C24" s="30" t="n">
        <f aca="false">SUM('Base Mensual'!C24:D24)+SUM('Base Mensual'!C19:D19)+SUM('Base Mensual'!C34:D34)</f>
        <v>34000</v>
      </c>
      <c r="D24" s="30" t="n">
        <f aca="false">SUM('Base Mensual'!E24:P24)+SUM('Base Mensual'!E19:P19)+SUM('Base Mensual'!E34:P34)</f>
        <v>324598</v>
      </c>
      <c r="E24" s="30" t="n">
        <f aca="false">SUM('Base Mensual'!Q24:U24)+SUM('Base Mensual'!Q19:U19)+SUM('Base Mensual'!Q34:U34)</f>
        <v>170560</v>
      </c>
      <c r="F24" s="30" t="n">
        <f aca="false">SUM('Base Mensual'!J24:U24)+SUM('Base Mensual'!J19:U19)+SUM('Base Mensual'!J34:U34)</f>
        <v>365758</v>
      </c>
      <c r="H24" s="31" t="n">
        <f aca="false">$F24*(1+Supuestos!$C$13)^1</f>
        <v>407820.17</v>
      </c>
      <c r="I24" s="31" t="n">
        <f aca="false">$F24*(1+Supuestos!$C$13)^2</f>
        <v>454719.48955</v>
      </c>
      <c r="J24" s="31" t="n">
        <f aca="false">$F24*(1+Supuestos!$C$13)^3</f>
        <v>507012.23084825</v>
      </c>
    </row>
    <row r="25" customFormat="false" ht="15" hidden="false" customHeight="false" outlineLevel="0" collapsed="false">
      <c r="B25" s="6" t="s">
        <v>105</v>
      </c>
      <c r="C25" s="30" t="n">
        <f aca="false">SUM('Base Mensual'!C28:D28)+SUM('Base Mensual'!C20:D20)+SUM('Base Mensual'!C29:D29)</f>
        <v>40333</v>
      </c>
      <c r="D25" s="30" t="n">
        <f aca="false">SUM('Base Mensual'!E28:P28)+SUM('Base Mensual'!E20:P20)+SUM('Base Mensual'!E29:P29)</f>
        <v>124128</v>
      </c>
      <c r="E25" s="30" t="n">
        <f aca="false">SUM('Base Mensual'!Q28:U28)+SUM('Base Mensual'!Q20:U20)+SUM('Base Mensual'!Q29:U29)</f>
        <v>42727.7</v>
      </c>
      <c r="F25" s="30" t="n">
        <f aca="false">SUM('Base Mensual'!J28:U28)+SUM('Base Mensual'!J20:U20)+SUM('Base Mensual'!J29:U29)</f>
        <v>97485.7</v>
      </c>
      <c r="H25" s="31" t="n">
        <f aca="false">$F25*(1+Supuestos!$C$13)^1</f>
        <v>108696.5555</v>
      </c>
      <c r="I25" s="31" t="n">
        <f aca="false">$F25*(1+Supuestos!$C$13)^2</f>
        <v>121196.6593825</v>
      </c>
      <c r="J25" s="31" t="n">
        <f aca="false">$F25*(1+Supuestos!$C$13)^3</f>
        <v>135134.275211488</v>
      </c>
    </row>
    <row r="26" customFormat="false" ht="15" hidden="false" customHeight="false" outlineLevel="0" collapsed="false">
      <c r="B26" s="6" t="s">
        <v>106</v>
      </c>
      <c r="C26" s="30" t="n">
        <f aca="false">SUM('Base Mensual'!C27:D27)+SUM('Base Mensual'!C22:D22)</f>
        <v>7660</v>
      </c>
      <c r="D26" s="30" t="n">
        <f aca="false">SUM('Base Mensual'!E27:P27)+SUM('Base Mensual'!E22:P22)</f>
        <v>63950</v>
      </c>
      <c r="E26" s="30" t="n">
        <f aca="false">SUM('Base Mensual'!Q27:U27)+SUM('Base Mensual'!Q22:U22)</f>
        <v>14509.1</v>
      </c>
      <c r="F26" s="30" t="n">
        <f aca="false">SUM('Base Mensual'!J27:U27)+SUM('Base Mensual'!J22:U22)</f>
        <v>52589.1</v>
      </c>
      <c r="H26" s="31" t="n">
        <f aca="false">$F26*(1+Supuestos!$C$13)^1</f>
        <v>58636.8465</v>
      </c>
      <c r="I26" s="31" t="n">
        <f aca="false">$F26*(1+Supuestos!$C$13)^2</f>
        <v>65380.0838475</v>
      </c>
      <c r="J26" s="31" t="n">
        <f aca="false">$F26*(1+Supuestos!$C$13)^3</f>
        <v>72898.7934899625</v>
      </c>
    </row>
    <row r="27" customFormat="false" ht="15" hidden="false" customHeight="false" outlineLevel="0" collapsed="false">
      <c r="B27" s="6" t="s">
        <v>107</v>
      </c>
      <c r="C27" s="30" t="n">
        <f aca="false">SUM('Base Mensual'!C33:D33)</f>
        <v>10134</v>
      </c>
      <c r="D27" s="30" t="n">
        <f aca="false">SUM('Base Mensual'!E33:P33)</f>
        <v>97444</v>
      </c>
      <c r="E27" s="30" t="n">
        <f aca="false">SUM('Base Mensual'!Q33:U33)</f>
        <v>39260</v>
      </c>
      <c r="F27" s="30" t="n">
        <f aca="false">SUM('Base Mensual'!J33:U33)</f>
        <v>116397</v>
      </c>
      <c r="H27" s="31" t="n">
        <f aca="false">$F27*(1+Supuestos!$C$13)^1</f>
        <v>129782.655</v>
      </c>
      <c r="I27" s="31" t="n">
        <f aca="false">$F27*(1+Supuestos!$C$13)^2</f>
        <v>144707.660325</v>
      </c>
      <c r="J27" s="31" t="n">
        <f aca="false">$F27*(1+Supuestos!$C$13)^3</f>
        <v>161349.041262375</v>
      </c>
    </row>
    <row r="28" customFormat="false" ht="15" hidden="false" customHeight="false" outlineLevel="0" collapsed="false">
      <c r="B28" s="6" t="s">
        <v>108</v>
      </c>
      <c r="C28" s="30" t="n">
        <f aca="false">SUM('Base Mensual'!C18:D18)+SUM('Base Mensual'!C21:D21)</f>
        <v>0</v>
      </c>
      <c r="D28" s="30" t="n">
        <f aca="false">SUM('Base Mensual'!E18:P18)+SUM('Base Mensual'!E21:P21)</f>
        <v>36540</v>
      </c>
      <c r="E28" s="30" t="n">
        <f aca="false">SUM('Base Mensual'!Q18:U18)+SUM('Base Mensual'!Q21:U21)</f>
        <v>94131.64</v>
      </c>
      <c r="F28" s="30" t="n">
        <f aca="false">SUM('Base Mensual'!J18:U18)+SUM('Base Mensual'!J21:U21)</f>
        <v>130671.64</v>
      </c>
      <c r="H28" s="31" t="n">
        <f aca="false">$F28*(1+Supuestos!$C$13)^1</f>
        <v>145698.8786</v>
      </c>
      <c r="I28" s="31" t="n">
        <f aca="false">$F28*(1+Supuestos!$C$13)^2</f>
        <v>162454.249639</v>
      </c>
      <c r="J28" s="31" t="n">
        <f aca="false">$F28*(1+Supuestos!$C$13)^3</f>
        <v>181136.488347485</v>
      </c>
    </row>
    <row r="29" customFormat="false" ht="15" hidden="false" customHeight="false" outlineLevel="0" collapsed="false">
      <c r="B29" s="6" t="s">
        <v>109</v>
      </c>
      <c r="C29" s="30" t="n">
        <f aca="false">SUM('Base Mensual'!C25:D25)+SUM('Base Mensual'!C32:D32)</f>
        <v>13232</v>
      </c>
      <c r="D29" s="30" t="n">
        <f aca="false">SUM('Base Mensual'!E25:P25)+SUM('Base Mensual'!E32:P32)</f>
        <v>198675</v>
      </c>
      <c r="E29" s="30" t="n">
        <f aca="false">SUM('Base Mensual'!Q25:U25)+SUM('Base Mensual'!Q32:U32)</f>
        <v>7200</v>
      </c>
      <c r="F29" s="30" t="n">
        <f aca="false">SUM('Base Mensual'!J25:U25)+SUM('Base Mensual'!J32:U32)</f>
        <v>108534</v>
      </c>
      <c r="H29" s="31" t="n">
        <f aca="false">$F29*(1+Supuestos!$C$13)^1</f>
        <v>121015.41</v>
      </c>
      <c r="I29" s="31" t="n">
        <f aca="false">$F29*(1+Supuestos!$C$13)^2</f>
        <v>134932.18215</v>
      </c>
      <c r="J29" s="31" t="n">
        <f aca="false">$F29*(1+Supuestos!$C$13)^3</f>
        <v>150449.38309725</v>
      </c>
    </row>
    <row r="30" customFormat="false" ht="15" hidden="false" customHeight="false" outlineLevel="0" collapsed="false">
      <c r="B30" s="16" t="s">
        <v>110</v>
      </c>
      <c r="C30" s="32" t="n">
        <f aca="false">SUM(C24:C29)</f>
        <v>105359</v>
      </c>
      <c r="D30" s="32" t="n">
        <f aca="false">SUM(D24:D29)</f>
        <v>845335</v>
      </c>
      <c r="E30" s="32" t="n">
        <f aca="false">SUM(E24:E29)</f>
        <v>368388.44</v>
      </c>
      <c r="F30" s="32" t="n">
        <f aca="false">SUM(F24:F29)</f>
        <v>871435.44</v>
      </c>
      <c r="H30" s="32" t="n">
        <f aca="false">SUM(H24:H29)</f>
        <v>971650.5156</v>
      </c>
      <c r="I30" s="32" t="n">
        <f aca="false">SUM(I24:I29)</f>
        <v>1083390.324894</v>
      </c>
      <c r="J30" s="32" t="n">
        <f aca="false">SUM(J24:J29)</f>
        <v>1207980.21225681</v>
      </c>
    </row>
    <row r="32" customFormat="false" ht="15" hidden="false" customHeight="false" outlineLevel="0" collapsed="false">
      <c r="B32" s="35" t="s">
        <v>111</v>
      </c>
      <c r="C32" s="36" t="n">
        <f aca="false">C20-C30</f>
        <v>103297.16</v>
      </c>
      <c r="D32" s="36" t="n">
        <f aca="false">D20-D30</f>
        <v>1002135.83</v>
      </c>
      <c r="E32" s="36" t="n">
        <f aca="false">E20-E30</f>
        <v>433595.49</v>
      </c>
      <c r="F32" s="36" t="n">
        <f aca="false">F20-F30</f>
        <v>1088577.32</v>
      </c>
      <c r="H32" s="36" t="n">
        <f aca="false">H20-H30</f>
        <v>1213763.7118</v>
      </c>
      <c r="I32" s="36" t="n">
        <f aca="false">I20-I30</f>
        <v>1353346.538657</v>
      </c>
      <c r="J32" s="36" t="n">
        <f aca="false">J20-J30</f>
        <v>1508981.39060255</v>
      </c>
    </row>
    <row r="33" customFormat="false" ht="15" hidden="false" customHeight="false" outlineLevel="0" collapsed="false">
      <c r="B33" s="24" t="s">
        <v>112</v>
      </c>
      <c r="C33" s="37" t="n">
        <f aca="false">IF(C13=0,0,C32/C13)</f>
        <v>0.424310932755959</v>
      </c>
      <c r="D33" s="37" t="n">
        <f aca="false">IF(D13=0,0,D32/D13)</f>
        <v>0.446518929925635</v>
      </c>
      <c r="E33" s="37" t="n">
        <f aca="false">IF(E13=0,0,E32/E13)</f>
        <v>0.401140893202592</v>
      </c>
      <c r="F33" s="37" t="n">
        <f aca="false">IF(F13=0,0,F32/F13)</f>
        <v>0.434142959555032</v>
      </c>
      <c r="H33" s="37" t="n">
        <f aca="false">IF(H13=0,0,H32/H13)</f>
        <v>0.434142959555032</v>
      </c>
      <c r="I33" s="37" t="n">
        <f aca="false">IF(I13=0,0,I32/I13)</f>
        <v>0.434142959555032</v>
      </c>
      <c r="J33" s="37" t="n">
        <f aca="false">IF(J13=0,0,J32/J13)</f>
        <v>0.434142959555032</v>
      </c>
    </row>
    <row r="35" customFormat="false" ht="15" hidden="false" customHeight="false" outlineLevel="0" collapsed="false">
      <c r="B35" s="6" t="s">
        <v>113</v>
      </c>
      <c r="C35" s="31" t="n">
        <f aca="false">-C6*Supuestos!$C$9</f>
        <v>-152135.4</v>
      </c>
      <c r="D35" s="31" t="n">
        <f aca="false">-D6*Supuestos!$C$9</f>
        <v>-912812.4</v>
      </c>
      <c r="E35" s="31" t="n">
        <f aca="false">-E6*Supuestos!$C$9</f>
        <v>-380338.5</v>
      </c>
      <c r="F35" s="31" t="n">
        <f aca="false">-F6*Supuestos!$C$9</f>
        <v>-912812.4</v>
      </c>
      <c r="H35" s="31" t="n">
        <f aca="false">-12*Supuestos!$C$9-0*Supuestos!$C$8</f>
        <v>-912812.4</v>
      </c>
      <c r="I35" s="31" t="n">
        <f aca="false">-12*Supuestos!$C$9-(-'Flujo de Efectivo'!I15)*Supuestos!$C$8</f>
        <v>-921199.70896185</v>
      </c>
      <c r="J35" s="31" t="n">
        <f aca="false">-12*Supuestos!$C$9-(-'Flujo de Efectivo'!I15+-'Flujo de Efectivo'!J15)*Supuestos!$C$8</f>
        <v>-930551.558454313</v>
      </c>
    </row>
    <row r="36" customFormat="false" ht="15" hidden="false" customHeight="false" outlineLevel="0" collapsed="false">
      <c r="B36" s="16" t="s">
        <v>114</v>
      </c>
      <c r="C36" s="32" t="n">
        <f aca="false">C32+C35</f>
        <v>-48838.24</v>
      </c>
      <c r="D36" s="32" t="n">
        <f aca="false">D32+D35</f>
        <v>89323.4300000002</v>
      </c>
      <c r="E36" s="32" t="n">
        <f aca="false">E32+E35</f>
        <v>53256.9899999999</v>
      </c>
      <c r="F36" s="32" t="n">
        <f aca="false">F32+F35</f>
        <v>175764.92</v>
      </c>
      <c r="H36" s="32" t="n">
        <f aca="false">H32+H35</f>
        <v>300951.3118</v>
      </c>
      <c r="I36" s="32" t="n">
        <f aca="false">I32+I35</f>
        <v>432146.82969515</v>
      </c>
      <c r="J36" s="32" t="n">
        <f aca="false">J32+J35</f>
        <v>578429.832148242</v>
      </c>
    </row>
    <row r="37" customFormat="false" ht="15" hidden="false" customHeight="false" outlineLevel="0" collapsed="false">
      <c r="B37" s="6" t="s">
        <v>115</v>
      </c>
      <c r="C37" s="34" t="n">
        <f aca="false">IF(C13=0,0,C36/C13)</f>
        <v>-0.200611509247296</v>
      </c>
      <c r="D37" s="34" t="n">
        <f aca="false">IF(D13=0,0,D36/D13)</f>
        <v>0.0397995972071844</v>
      </c>
      <c r="E37" s="34" t="n">
        <f aca="false">IF(E13=0,0,E36/E13)</f>
        <v>0.0492707074464301</v>
      </c>
      <c r="F37" s="34" t="n">
        <f aca="false">IF(F13=0,0,F36/F13)</f>
        <v>0.0700980087980828</v>
      </c>
      <c r="H37" s="34" t="n">
        <f aca="false">IF(H13=0,0,H36/H13)</f>
        <v>0.10764524587167</v>
      </c>
      <c r="I37" s="34" t="n">
        <f aca="false">IF(I13=0,0,I36/I13)</f>
        <v>0.138629314995962</v>
      </c>
      <c r="J37" s="34" t="n">
        <f aca="false">IF(J13=0,0,J36/J13)</f>
        <v>0.166417717798019</v>
      </c>
    </row>
    <row r="38" customFormat="false" ht="15" hidden="false" customHeight="false" outlineLevel="0" collapsed="false">
      <c r="B38" s="6" t="s">
        <v>116</v>
      </c>
      <c r="C38" s="31" t="n">
        <f aca="false">-MAX(0,C36)*Supuestos!$C$11</f>
        <v>-0</v>
      </c>
      <c r="D38" s="31" t="n">
        <f aca="false">-MAX(0,D36)*Supuestos!$C$11</f>
        <v>-26797.0290000001</v>
      </c>
      <c r="E38" s="31" t="n">
        <f aca="false">-MAX(0,E36)*Supuestos!$C$11</f>
        <v>-15977.097</v>
      </c>
      <c r="F38" s="31" t="n">
        <f aca="false">-MAX(0,F36)*Supuestos!$C$11</f>
        <v>-52729.476</v>
      </c>
      <c r="H38" s="31" t="n">
        <f aca="false">-MAX(0,H36)*Supuestos!$C$11</f>
        <v>-90285.3935400001</v>
      </c>
      <c r="I38" s="31" t="n">
        <f aca="false">-MAX(0,I36)*Supuestos!$C$11</f>
        <v>-129644.048908545</v>
      </c>
      <c r="J38" s="31" t="n">
        <f aca="false">-MAX(0,J36)*Supuestos!$C$11</f>
        <v>-173528.949644473</v>
      </c>
    </row>
    <row r="39" customFormat="false" ht="15" hidden="false" customHeight="false" outlineLevel="0" collapsed="false">
      <c r="B39" s="38" t="s">
        <v>117</v>
      </c>
      <c r="C39" s="39" t="n">
        <f aca="false">C36+C38</f>
        <v>-48838.24</v>
      </c>
      <c r="D39" s="39" t="n">
        <f aca="false">D36+D38</f>
        <v>62526.4010000001</v>
      </c>
      <c r="E39" s="39" t="n">
        <f aca="false">E36+E38</f>
        <v>37279.893</v>
      </c>
      <c r="F39" s="39" t="n">
        <f aca="false">F36+F38</f>
        <v>123035.444</v>
      </c>
      <c r="H39" s="39" t="n">
        <f aca="false">H36+H38</f>
        <v>210665.91826</v>
      </c>
      <c r="I39" s="39" t="n">
        <f aca="false">I36+I38</f>
        <v>302502.780786605</v>
      </c>
      <c r="J39" s="39" t="n">
        <f aca="false">J36+J38</f>
        <v>404900.88250377</v>
      </c>
    </row>
    <row r="40" customFormat="false" ht="15" hidden="false" customHeight="false" outlineLevel="0" collapsed="false">
      <c r="B40" s="6" t="s">
        <v>118</v>
      </c>
      <c r="C40" s="34" t="n">
        <f aca="false">IF(C13=0,0,C39/C13)</f>
        <v>-0.200611509247296</v>
      </c>
      <c r="D40" s="34" t="n">
        <f aca="false">IF(D13=0,0,D39/D13)</f>
        <v>0.0278597180450291</v>
      </c>
      <c r="E40" s="34" t="n">
        <f aca="false">IF(E13=0,0,E39/E13)</f>
        <v>0.0344894952125011</v>
      </c>
      <c r="F40" s="34" t="n">
        <f aca="false">IF(F13=0,0,F39/F13)</f>
        <v>0.0490686061586579</v>
      </c>
      <c r="H40" s="34" t="n">
        <f aca="false">IF(H13=0,0,H39/H13)</f>
        <v>0.0753516721101687</v>
      </c>
      <c r="I40" s="34" t="n">
        <f aca="false">IF(I13=0,0,I39/I13)</f>
        <v>0.0970405204971737</v>
      </c>
      <c r="J40" s="34" t="n">
        <f aca="false">IF(J13=0,0,J39/J13)</f>
        <v>0.116492402458613</v>
      </c>
    </row>
    <row r="43" customFormat="false" ht="15" hidden="false" customHeight="false" outlineLevel="0" collapsed="false">
      <c r="B43" s="16" t="s">
        <v>119</v>
      </c>
      <c r="C43" s="17"/>
      <c r="D43" s="17"/>
      <c r="E43" s="17"/>
      <c r="F43" s="17"/>
    </row>
    <row r="44" customFormat="false" ht="15" hidden="false" customHeight="false" outlineLevel="0" collapsed="false">
      <c r="B44" s="6" t="s">
        <v>120</v>
      </c>
      <c r="C44" s="30" t="n">
        <f aca="false">SUM('Base Mensual'!C15:D15)+SUM('Base Mensual'!C45:D45)-SUM('Base Mensual'!C35:D35)-SUM('Base Mensual'!C46:D46)-SUM('Base Mensual'!C39:D39)-SUM('Base Mensual'!C43:D43)</f>
        <v>46383.16</v>
      </c>
      <c r="D44" s="30" t="n">
        <f aca="false">SUM('Base Mensual'!E15:P15)+SUM('Base Mensual'!E45:P45)-SUM('Base Mensual'!E35:P35)-SUM('Base Mensual'!E46:P46)-SUM('Base Mensual'!E39:P39)-SUM('Base Mensual'!E43:P43)</f>
        <v>467818.83</v>
      </c>
      <c r="E44" s="30" t="n">
        <f aca="false">SUM('Base Mensual'!Q15:U15)+SUM('Base Mensual'!Q45:U45)-SUM('Base Mensual'!Q35:U35)-SUM('Base Mensual'!Q46:U46)-SUM('Base Mensual'!Q39:U39)-SUM('Base Mensual'!Q43:U43)</f>
        <v>229263.04</v>
      </c>
      <c r="F44" s="30" t="n">
        <f aca="false">SUM('Base Mensual'!J15:U15)+SUM('Base Mensual'!J45:U45)-SUM('Base Mensual'!J35:U35)-SUM('Base Mensual'!J46:U46)-SUM('Base Mensual'!J39:U39)-SUM('Base Mensual'!J43:U43)</f>
        <v>499519.87</v>
      </c>
    </row>
    <row r="45" customFormat="false" ht="15" hidden="false" customHeight="false" outlineLevel="0" collapsed="false">
      <c r="B45" s="6" t="s">
        <v>121</v>
      </c>
      <c r="C45" s="30" t="n">
        <f aca="false">SUM('Base Mensual'!C43:D43)</f>
        <v>56914</v>
      </c>
      <c r="D45" s="30" t="n">
        <f aca="false">SUM('Base Mensual'!E43:P43)</f>
        <v>534317</v>
      </c>
      <c r="E45" s="30" t="n">
        <f aca="false">SUM('Base Mensual'!Q43:U43)</f>
        <v>0</v>
      </c>
      <c r="F45" s="30" t="n">
        <f aca="false">SUM('Base Mensual'!J43:U43)</f>
        <v>384725</v>
      </c>
    </row>
    <row r="46" customFormat="false" ht="15" hidden="false" customHeight="false" outlineLevel="0" collapsed="false">
      <c r="B46" s="6" t="s">
        <v>122</v>
      </c>
      <c r="C46" s="30" t="n">
        <f aca="false">SUM('Base Mensual'!C39:D39)</f>
        <v>0</v>
      </c>
      <c r="D46" s="30" t="n">
        <f aca="false">SUM('Base Mensual'!E39:P39)</f>
        <v>0</v>
      </c>
      <c r="E46" s="30" t="n">
        <f aca="false">SUM('Base Mensual'!Q39:U39)</f>
        <v>204332.45</v>
      </c>
      <c r="F46" s="30" t="n">
        <f aca="false">SUM('Base Mensual'!J39:U39)</f>
        <v>204332.45</v>
      </c>
    </row>
    <row r="47" customFormat="false" ht="15" hidden="false" customHeight="false" outlineLevel="0" collapsed="false">
      <c r="B47" s="6" t="s">
        <v>123</v>
      </c>
      <c r="C47" s="30" t="n">
        <f aca="false">SUM('Base Mensual'!C46:D46)-SUM('Base Mensual'!C45:D45)</f>
        <v>0</v>
      </c>
      <c r="D47" s="30" t="n">
        <f aca="false">SUM('Base Mensual'!E46:P46)-SUM('Base Mensual'!E45:P45)</f>
        <v>0</v>
      </c>
      <c r="E47" s="30" t="n">
        <f aca="false">SUM('Base Mensual'!Q46:U46)-SUM('Base Mensual'!Q45:U45)</f>
        <v>0</v>
      </c>
      <c r="F47" s="30" t="n">
        <f aca="false">SUM('Base Mensual'!J46:U46)-SUM('Base Mensual'!J45:U45)</f>
        <v>0</v>
      </c>
    </row>
    <row r="48" customFormat="false" ht="15" hidden="false" customHeight="false" outlineLevel="0" collapsed="false">
      <c r="B48" s="24" t="s">
        <v>124</v>
      </c>
      <c r="C48" s="25" t="n">
        <f aca="false">SUM(C44:C47)</f>
        <v>103297.16</v>
      </c>
      <c r="D48" s="25" t="n">
        <f aca="false">SUM(D44:D47)</f>
        <v>1002135.83</v>
      </c>
      <c r="E48" s="25" t="n">
        <f aca="false">SUM(E44:E47)</f>
        <v>433595.49</v>
      </c>
      <c r="F48" s="25" t="n">
        <f aca="false">SUM(F44:F47)</f>
        <v>1088577.32</v>
      </c>
    </row>
    <row r="49" customFormat="false" ht="15" hidden="false" customHeight="false" outlineLevel="0" collapsed="false">
      <c r="B49" s="33" t="s">
        <v>125</v>
      </c>
      <c r="C49" s="40" t="n">
        <f aca="false">C48-C32</f>
        <v>0</v>
      </c>
      <c r="D49" s="40" t="n">
        <f aca="false">D48-D32</f>
        <v>0</v>
      </c>
      <c r="E49" s="40" t="n">
        <f aca="false">E48-E32</f>
        <v>0</v>
      </c>
      <c r="F49" s="40" t="n">
        <f aca="false">F48-F32</f>
        <v>0</v>
      </c>
    </row>
    <row r="51" customFormat="false" ht="66" hidden="false" customHeight="true" outlineLevel="0" collapsed="false">
      <c r="B51" s="41" t="s">
        <v>126</v>
      </c>
      <c r="C51" s="41"/>
      <c r="D51" s="41"/>
      <c r="E51" s="41"/>
      <c r="F51" s="41"/>
      <c r="G51" s="41"/>
      <c r="H51" s="41"/>
      <c r="I51" s="41"/>
      <c r="J51" s="41"/>
    </row>
  </sheetData>
  <mergeCells count="1">
    <mergeCell ref="B51:J5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336C"/>
    <pageSetUpPr fitToPage="true"/>
  </sheetPr>
  <dimension ref="B2:H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4"/>
    <col collapsed="false" customWidth="true" hidden="false" outlineLevel="0" max="4" min="3" style="0" width="16"/>
    <col collapsed="false" customWidth="true" hidden="false" outlineLevel="0" max="5" min="5" style="0" width="2"/>
    <col collapsed="false" customWidth="true" hidden="false" outlineLevel="0" max="8" min="6" style="0" width="15"/>
  </cols>
  <sheetData>
    <row r="2" customFormat="false" ht="25.5" hidden="false" customHeight="true" outlineLevel="0" collapsed="false">
      <c r="B2" s="12" t="s">
        <v>127</v>
      </c>
    </row>
    <row r="3" customFormat="false" ht="15" hidden="false" customHeight="false" outlineLevel="0" collapsed="false">
      <c r="B3" s="13" t="s">
        <v>128</v>
      </c>
    </row>
    <row r="5" customFormat="false" ht="30" hidden="false" customHeight="true" outlineLevel="0" collapsed="false">
      <c r="B5" s="14" t="s">
        <v>82</v>
      </c>
      <c r="C5" s="15" t="s">
        <v>129</v>
      </c>
      <c r="D5" s="15" t="s">
        <v>130</v>
      </c>
      <c r="F5" s="28" t="s">
        <v>131</v>
      </c>
      <c r="G5" s="28" t="s">
        <v>132</v>
      </c>
      <c r="H5" s="28" t="s">
        <v>133</v>
      </c>
    </row>
    <row r="6" customFormat="false" ht="15" hidden="false" customHeight="false" outlineLevel="0" collapsed="false">
      <c r="B6" s="24" t="s">
        <v>134</v>
      </c>
    </row>
    <row r="7" customFormat="false" ht="15" hidden="false" customHeight="false" outlineLevel="0" collapsed="false">
      <c r="B7" s="6" t="s">
        <v>135</v>
      </c>
      <c r="C7" s="31" t="n">
        <f aca="false">Supuestos!$C$30</f>
        <v>467498</v>
      </c>
      <c r="D7" s="31" t="n">
        <f aca="false">C7+'Base Mensual'!U36-'Base Mensual'!U39-'Base Mensual'!U43+'Base Mensual'!U45-'Base Mensual'!U46-Supuestos!$C$22</f>
        <v>519436.07</v>
      </c>
      <c r="F7" s="31" t="n">
        <f aca="false">D7+'Flujo de Efectivo'!I25</f>
        <v>1559041.2986415</v>
      </c>
      <c r="G7" s="31" t="n">
        <f aca="false">F7+'Flujo de Efectivo'!J25</f>
        <v>2689225.29346533</v>
      </c>
      <c r="H7" s="31" t="n">
        <f aca="false">G7+'Flujo de Efectivo'!K25</f>
        <v>3920404.61258245</v>
      </c>
    </row>
    <row r="8" customFormat="false" ht="15" hidden="false" customHeight="false" outlineLevel="0" collapsed="false">
      <c r="B8" s="6" t="s">
        <v>136</v>
      </c>
      <c r="C8" s="31" t="n">
        <f aca="false">Supuestos!$C$18</f>
        <v>0</v>
      </c>
      <c r="D8" s="31" t="n">
        <f aca="false">Supuestos!$C$18</f>
        <v>0</v>
      </c>
      <c r="F8" s="31" t="n">
        <f aca="false">D8+Supuestos!$C$16</f>
        <v>0</v>
      </c>
      <c r="G8" s="31" t="n">
        <f aca="false">F8+Supuestos!$C$16</f>
        <v>0</v>
      </c>
      <c r="H8" s="31" t="n">
        <f aca="false">G8+Supuestos!$C$16</f>
        <v>0</v>
      </c>
    </row>
    <row r="9" customFormat="false" ht="15" hidden="false" customHeight="false" outlineLevel="0" collapsed="false">
      <c r="B9" s="24" t="s">
        <v>137</v>
      </c>
      <c r="C9" s="25" t="n">
        <f aca="false">SUM(C7:C8)</f>
        <v>467498</v>
      </c>
      <c r="D9" s="25" t="n">
        <f aca="false">SUM(D7:D8)</f>
        <v>519436.07</v>
      </c>
      <c r="F9" s="25" t="n">
        <f aca="false">SUM(F7:F8)</f>
        <v>1559041.2986415</v>
      </c>
      <c r="G9" s="25" t="n">
        <f aca="false">SUM(G7:G8)</f>
        <v>2689225.29346533</v>
      </c>
      <c r="H9" s="25" t="n">
        <f aca="false">SUM(H7:H8)</f>
        <v>3920404.61258245</v>
      </c>
    </row>
    <row r="11" customFormat="false" ht="15" hidden="false" customHeight="false" outlineLevel="0" collapsed="false">
      <c r="B11" s="6" t="s">
        <v>138</v>
      </c>
      <c r="C11" s="31" t="n">
        <f aca="false">Supuestos!$C$7</f>
        <v>9128124</v>
      </c>
      <c r="D11" s="31" t="n">
        <f aca="false">Supuestos!$C$7</f>
        <v>9128124</v>
      </c>
      <c r="F11" s="31" t="n">
        <f aca="false">D11-'Flujo de Efectivo'!I15</f>
        <v>9211997.0896185</v>
      </c>
      <c r="G11" s="31" t="n">
        <f aca="false">F11-'Flujo de Efectivo'!J15</f>
        <v>9305515.58454313</v>
      </c>
      <c r="H11" s="31" t="n">
        <f aca="false">G11-'Flujo de Efectivo'!K15</f>
        <v>9409788.70638409</v>
      </c>
    </row>
    <row r="12" customFormat="false" ht="15" hidden="false" customHeight="false" outlineLevel="0" collapsed="false">
      <c r="B12" s="6" t="s">
        <v>139</v>
      </c>
      <c r="C12" s="31" t="n">
        <f aca="false">-18*Supuestos!$C$9</f>
        <v>-1369218.6</v>
      </c>
      <c r="D12" s="31" t="n">
        <f aca="false">-19*Supuestos!$C$9</f>
        <v>-1445286.3</v>
      </c>
      <c r="F12" s="31" t="n">
        <f aca="false">D12+'Estado de Resultados'!H35</f>
        <v>-2358098.7</v>
      </c>
      <c r="G12" s="31" t="n">
        <f aca="false">F12+'Estado de Resultados'!I35</f>
        <v>-3279298.40896185</v>
      </c>
      <c r="H12" s="31" t="n">
        <f aca="false">G12+'Estado de Resultados'!J35</f>
        <v>-4209849.96741616</v>
      </c>
    </row>
    <row r="13" customFormat="false" ht="15" hidden="false" customHeight="false" outlineLevel="0" collapsed="false">
      <c r="B13" s="24" t="s">
        <v>140</v>
      </c>
      <c r="C13" s="25" t="n">
        <f aca="false">C11+C12</f>
        <v>7758905.4</v>
      </c>
      <c r="D13" s="25" t="n">
        <f aca="false">D11+D12</f>
        <v>7682837.7</v>
      </c>
      <c r="F13" s="25" t="n">
        <f aca="false">F11+F12</f>
        <v>6853898.3896185</v>
      </c>
      <c r="G13" s="25" t="n">
        <f aca="false">G11+G12</f>
        <v>6026217.17558128</v>
      </c>
      <c r="H13" s="25" t="n">
        <f aca="false">H11+H12</f>
        <v>5199938.73896792</v>
      </c>
    </row>
    <row r="15" customFormat="false" ht="15" hidden="false" customHeight="false" outlineLevel="0" collapsed="false">
      <c r="B15" s="38" t="s">
        <v>141</v>
      </c>
      <c r="C15" s="39" t="n">
        <f aca="false">C9+C13</f>
        <v>8226403.4</v>
      </c>
      <c r="D15" s="39" t="n">
        <f aca="false">D9+D13</f>
        <v>8202273.77</v>
      </c>
      <c r="F15" s="39" t="n">
        <f aca="false">F9+F13</f>
        <v>8412939.68826</v>
      </c>
      <c r="G15" s="39" t="n">
        <f aca="false">G9+G13</f>
        <v>8715442.4690466</v>
      </c>
      <c r="H15" s="39" t="n">
        <f aca="false">H9+H13</f>
        <v>9120343.35155037</v>
      </c>
    </row>
    <row r="17" customFormat="false" ht="15" hidden="false" customHeight="false" outlineLevel="0" collapsed="false">
      <c r="B17" s="24" t="s">
        <v>142</v>
      </c>
    </row>
    <row r="18" customFormat="false" ht="15" hidden="false" customHeight="false" outlineLevel="0" collapsed="false">
      <c r="B18" s="6" t="s">
        <v>143</v>
      </c>
      <c r="C18" s="31" t="n">
        <f aca="false">Supuestos!$C$19</f>
        <v>0</v>
      </c>
      <c r="D18" s="31" t="n">
        <f aca="false">Supuestos!$C$19</f>
        <v>0</v>
      </c>
      <c r="F18" s="31" t="n">
        <f aca="false">D18</f>
        <v>0</v>
      </c>
      <c r="G18" s="31" t="n">
        <f aca="false">F18</f>
        <v>0</v>
      </c>
      <c r="H18" s="31" t="n">
        <f aca="false">G18</f>
        <v>0</v>
      </c>
    </row>
    <row r="19" customFormat="false" ht="15" hidden="false" customHeight="false" outlineLevel="0" collapsed="false">
      <c r="B19" s="6" t="s">
        <v>144</v>
      </c>
      <c r="C19" s="31" t="n">
        <f aca="false">Supuestos!$C$20</f>
        <v>0</v>
      </c>
      <c r="D19" s="31" t="n">
        <f aca="false">Supuestos!$C$20</f>
        <v>0</v>
      </c>
      <c r="F19" s="31" t="n">
        <f aca="false">D19</f>
        <v>0</v>
      </c>
      <c r="G19" s="31" t="n">
        <f aca="false">F19</f>
        <v>0</v>
      </c>
      <c r="H19" s="31" t="n">
        <f aca="false">G19</f>
        <v>0</v>
      </c>
    </row>
    <row r="20" customFormat="false" ht="15" hidden="false" customHeight="false" outlineLevel="0" collapsed="false">
      <c r="B20" s="6" t="s">
        <v>145</v>
      </c>
      <c r="C20" s="31" t="n">
        <f aca="false">Supuestos!$C$21</f>
        <v>0</v>
      </c>
      <c r="D20" s="31" t="n">
        <f aca="false">Supuestos!$C$21</f>
        <v>0</v>
      </c>
      <c r="F20" s="31" t="n">
        <f aca="false">D20</f>
        <v>0</v>
      </c>
      <c r="G20" s="31" t="n">
        <f aca="false">F20</f>
        <v>0</v>
      </c>
      <c r="H20" s="31" t="n">
        <f aca="false">G20</f>
        <v>0</v>
      </c>
    </row>
    <row r="21" customFormat="false" ht="15" hidden="false" customHeight="false" outlineLevel="0" collapsed="false">
      <c r="B21" s="24" t="s">
        <v>146</v>
      </c>
      <c r="C21" s="25" t="n">
        <f aca="false">SUM(C18:C20)</f>
        <v>0</v>
      </c>
      <c r="D21" s="25" t="n">
        <f aca="false">SUM(D18:D20)</f>
        <v>0</v>
      </c>
      <c r="F21" s="25" t="n">
        <f aca="false">SUM(F18:F20)</f>
        <v>0</v>
      </c>
      <c r="G21" s="25" t="n">
        <f aca="false">SUM(G18:G20)</f>
        <v>0</v>
      </c>
      <c r="H21" s="25" t="n">
        <f aca="false">SUM(H18:H20)</f>
        <v>0</v>
      </c>
    </row>
    <row r="23" customFormat="false" ht="15" hidden="false" customHeight="false" outlineLevel="0" collapsed="false">
      <c r="B23" s="24" t="s">
        <v>147</v>
      </c>
    </row>
    <row r="24" customFormat="false" ht="15" hidden="false" customHeight="false" outlineLevel="0" collapsed="false">
      <c r="B24" s="6" t="s">
        <v>148</v>
      </c>
      <c r="C24" s="31" t="n">
        <f aca="false">Supuestos!$C$7</f>
        <v>9128124</v>
      </c>
      <c r="D24" s="31" t="n">
        <f aca="false">Supuestos!$C$7</f>
        <v>9128124</v>
      </c>
      <c r="F24" s="31" t="n">
        <f aca="false">D24</f>
        <v>9128124</v>
      </c>
      <c r="G24" s="31" t="n">
        <f aca="false">F24</f>
        <v>9128124</v>
      </c>
      <c r="H24" s="31" t="n">
        <f aca="false">G24</f>
        <v>9128124</v>
      </c>
    </row>
    <row r="25" customFormat="false" ht="15" hidden="false" customHeight="false" outlineLevel="0" collapsed="false">
      <c r="B25" s="6" t="s">
        <v>149</v>
      </c>
      <c r="C25" s="31" t="n">
        <f aca="false">SUM('Base Mensual'!C36:T36)-SUM('Base Mensual'!C39:T39)-18*Supuestos!$C$9</f>
        <v>-86460.6399999997</v>
      </c>
      <c r="D25" s="31" t="n">
        <f aca="false">SUM('Base Mensual'!C36:U36)-SUM('Base Mensual'!C39:U39)-19*Supuestos!$C$9</f>
        <v>-110590.27</v>
      </c>
      <c r="F25" s="31" t="n">
        <f aca="false">D25+'Estado de Resultados'!H39</f>
        <v>100075.64826</v>
      </c>
      <c r="G25" s="31" t="n">
        <f aca="false">F25+'Estado de Resultados'!I39</f>
        <v>402578.429046606</v>
      </c>
      <c r="H25" s="31" t="n">
        <f aca="false">G25+'Estado de Resultados'!J39</f>
        <v>807479.311550375</v>
      </c>
    </row>
    <row r="26" customFormat="false" ht="15" hidden="false" customHeight="false" outlineLevel="0" collapsed="false">
      <c r="B26" s="6" t="s">
        <v>150</v>
      </c>
      <c r="C26" s="31" t="n">
        <f aca="false">-SUM('Base Mensual'!C43:T43)-SUM('Base Mensual'!C44:T44)</f>
        <v>-819231</v>
      </c>
      <c r="D26" s="31" t="n">
        <f aca="false">-SUM('Base Mensual'!C43:U43)-SUM('Base Mensual'!C44:U44)-Supuestos!$C$22</f>
        <v>-819231</v>
      </c>
      <c r="F26" s="31" t="n">
        <f aca="false">D26+'Flujo de Efectivo'!I21</f>
        <v>-819231</v>
      </c>
      <c r="G26" s="31" t="n">
        <f aca="false">F26+'Flujo de Efectivo'!J21</f>
        <v>-819231</v>
      </c>
      <c r="H26" s="31" t="n">
        <f aca="false">G26+'Flujo de Efectivo'!K21</f>
        <v>-819231</v>
      </c>
    </row>
    <row r="27" customFormat="false" ht="15" hidden="false" customHeight="false" outlineLevel="0" collapsed="false">
      <c r="B27" s="6" t="s">
        <v>151</v>
      </c>
      <c r="C27" s="31" t="n">
        <f aca="false">C15-C21-C24-C25-C26</f>
        <v>3971.04000000004</v>
      </c>
      <c r="D27" s="31" t="n">
        <f aca="false">D15-D21-D24-D25-D26</f>
        <v>3971.04000000027</v>
      </c>
      <c r="F27" s="31" t="n">
        <f aca="false">D27</f>
        <v>3971.04000000027</v>
      </c>
      <c r="G27" s="31" t="n">
        <f aca="false">F27</f>
        <v>3971.04000000027</v>
      </c>
      <c r="H27" s="31" t="n">
        <f aca="false">G27</f>
        <v>3971.04000000027</v>
      </c>
    </row>
    <row r="28" customFormat="false" ht="15" hidden="false" customHeight="false" outlineLevel="0" collapsed="false">
      <c r="B28" s="24" t="s">
        <v>152</v>
      </c>
      <c r="C28" s="25" t="n">
        <f aca="false">SUM(C24:C27)</f>
        <v>8226403.4</v>
      </c>
      <c r="D28" s="25" t="n">
        <f aca="false">SUM(D24:D27)</f>
        <v>8202273.77</v>
      </c>
      <c r="F28" s="25" t="n">
        <f aca="false">SUM(F24:F27)</f>
        <v>8412939.68826</v>
      </c>
      <c r="G28" s="25" t="n">
        <f aca="false">SUM(G24:G27)</f>
        <v>8715442.46904661</v>
      </c>
      <c r="H28" s="25" t="n">
        <f aca="false">SUM(H24:H27)</f>
        <v>9120343.35155038</v>
      </c>
    </row>
    <row r="30" customFormat="false" ht="15" hidden="false" customHeight="false" outlineLevel="0" collapsed="false">
      <c r="B30" s="38" t="s">
        <v>153</v>
      </c>
      <c r="C30" s="39" t="n">
        <f aca="false">C21+C28</f>
        <v>8226403.4</v>
      </c>
      <c r="D30" s="39" t="n">
        <f aca="false">D21+D28</f>
        <v>8202273.77</v>
      </c>
      <c r="F30" s="39" t="n">
        <f aca="false">F21+F28</f>
        <v>8412939.68826</v>
      </c>
      <c r="G30" s="39" t="n">
        <f aca="false">G21+G28</f>
        <v>8715442.46904661</v>
      </c>
      <c r="H30" s="39" t="n">
        <f aca="false">H21+H28</f>
        <v>9120343.35155038</v>
      </c>
    </row>
    <row r="31" customFormat="false" ht="15" hidden="false" customHeight="false" outlineLevel="0" collapsed="false">
      <c r="B31" s="33" t="s">
        <v>154</v>
      </c>
      <c r="C31" s="40" t="n">
        <f aca="false">ROUND(C15-C30,2)</f>
        <v>0</v>
      </c>
      <c r="D31" s="40" t="n">
        <f aca="false">ROUND(D15-D30,2)</f>
        <v>0</v>
      </c>
      <c r="F31" s="40" t="n">
        <f aca="false">ROUND(F15-F30,2)</f>
        <v>0</v>
      </c>
      <c r="G31" s="40" t="n">
        <f aca="false">ROUND(G15-G30,2)</f>
        <v>0</v>
      </c>
      <c r="H31" s="40" t="n">
        <f aca="false">ROUND(H15-H30,2)</f>
        <v>0</v>
      </c>
    </row>
    <row r="33" customFormat="false" ht="15" hidden="false" customHeight="false" outlineLevel="0" collapsed="false">
      <c r="B33" s="16" t="s">
        <v>155</v>
      </c>
      <c r="C33" s="17"/>
      <c r="D33" s="17"/>
      <c r="E33" s="17"/>
      <c r="F33" s="17"/>
      <c r="G33" s="17"/>
      <c r="H33" s="17"/>
    </row>
    <row r="34" customFormat="false" ht="15" hidden="false" customHeight="false" outlineLevel="0" collapsed="false">
      <c r="B34" s="6" t="s">
        <v>156</v>
      </c>
      <c r="C34" s="31" t="n">
        <f aca="false">C20-C7</f>
        <v>-467498</v>
      </c>
      <c r="D34" s="31" t="n">
        <f aca="false">D20-D7</f>
        <v>-519436.07</v>
      </c>
      <c r="F34" s="31" t="n">
        <f aca="false">F20-F7</f>
        <v>-1559041.2986415</v>
      </c>
      <c r="G34" s="31" t="n">
        <f aca="false">G20-G7</f>
        <v>-2689225.29346533</v>
      </c>
      <c r="H34" s="31" t="n">
        <f aca="false">H20-H7</f>
        <v>-3920404.61258245</v>
      </c>
    </row>
    <row r="35" customFormat="false" ht="15" hidden="false" customHeight="false" outlineLevel="0" collapsed="false">
      <c r="B35" s="6" t="s">
        <v>157</v>
      </c>
      <c r="C35" s="42" t="n">
        <f aca="false">C21/C28</f>
        <v>0</v>
      </c>
      <c r="D35" s="42" t="n">
        <f aca="false">D21/D28</f>
        <v>0</v>
      </c>
      <c r="F35" s="42" t="n">
        <f aca="false">F21/F28</f>
        <v>0</v>
      </c>
      <c r="G35" s="42" t="n">
        <f aca="false">G21/G28</f>
        <v>0</v>
      </c>
      <c r="H35" s="42" t="n">
        <f aca="false">H21/H28</f>
        <v>0</v>
      </c>
    </row>
    <row r="37" customFormat="false" ht="79.5" hidden="false" customHeight="true" outlineLevel="0" collapsed="false">
      <c r="B37" s="41" t="s">
        <v>158</v>
      </c>
      <c r="C37" s="41"/>
      <c r="D37" s="41"/>
      <c r="E37" s="41"/>
      <c r="F37" s="41"/>
      <c r="G37" s="41"/>
      <c r="H37" s="41"/>
    </row>
  </sheetData>
  <mergeCells count="1">
    <mergeCell ref="B37:H3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336C"/>
    <pageSetUpPr fitToPage="true"/>
  </sheetPr>
  <dimension ref="B2:K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4"/>
    <col collapsed="false" customWidth="true" hidden="false" outlineLevel="0" max="3" min="3" style="0" width="14"/>
    <col collapsed="false" customWidth="true" hidden="false" outlineLevel="0" max="6" min="4" style="0" width="13"/>
    <col collapsed="false" customWidth="true" hidden="false" outlineLevel="0" max="7" min="7" style="0" width="15"/>
    <col collapsed="false" customWidth="true" hidden="false" outlineLevel="0" max="8" min="8" style="0" width="2"/>
    <col collapsed="false" customWidth="true" hidden="false" outlineLevel="0" max="11" min="9" style="0" width="14"/>
  </cols>
  <sheetData>
    <row r="2" customFormat="false" ht="25.5" hidden="false" customHeight="true" outlineLevel="0" collapsed="false">
      <c r="B2" s="12" t="s">
        <v>159</v>
      </c>
    </row>
    <row r="3" customFormat="false" ht="15" hidden="false" customHeight="false" outlineLevel="0" collapsed="false">
      <c r="B3" s="13" t="s">
        <v>160</v>
      </c>
    </row>
    <row r="5" customFormat="false" ht="30" hidden="false" customHeight="true" outlineLevel="0" collapsed="false">
      <c r="B5" s="14" t="s">
        <v>82</v>
      </c>
      <c r="C5" s="15" t="s">
        <v>161</v>
      </c>
      <c r="D5" s="15" t="s">
        <v>83</v>
      </c>
      <c r="E5" s="15" t="s">
        <v>84</v>
      </c>
      <c r="F5" s="15" t="s">
        <v>85</v>
      </c>
      <c r="G5" s="15" t="s">
        <v>162</v>
      </c>
      <c r="I5" s="28" t="s">
        <v>163</v>
      </c>
      <c r="J5" s="28" t="s">
        <v>164</v>
      </c>
      <c r="K5" s="28" t="s">
        <v>165</v>
      </c>
    </row>
    <row r="6" customFormat="false" ht="15" hidden="false" customHeight="false" outlineLevel="0" collapsed="false">
      <c r="B6" s="24" t="s">
        <v>166</v>
      </c>
    </row>
    <row r="7" customFormat="false" ht="15" hidden="false" customHeight="false" outlineLevel="0" collapsed="false">
      <c r="B7" s="6" t="s">
        <v>167</v>
      </c>
      <c r="D7" s="30" t="n">
        <f aca="false">'Estado de Resultados'!C32</f>
        <v>103297.16</v>
      </c>
      <c r="E7" s="30" t="n">
        <f aca="false">'Estado de Resultados'!D32</f>
        <v>1002135.83</v>
      </c>
      <c r="F7" s="30" t="n">
        <f aca="false">'Estado de Resultados'!E32</f>
        <v>433595.49</v>
      </c>
      <c r="G7" s="43" t="n">
        <f aca="false">SUM(C7:F7)</f>
        <v>1539028.48</v>
      </c>
      <c r="I7" s="31" t="n">
        <f aca="false">'Estado de Resultados'!H32</f>
        <v>1213763.7118</v>
      </c>
      <c r="J7" s="31" t="n">
        <f aca="false">'Estado de Resultados'!I32</f>
        <v>1353346.538657</v>
      </c>
      <c r="K7" s="31" t="n">
        <f aca="false">'Estado de Resultados'!J32</f>
        <v>1508981.39060255</v>
      </c>
    </row>
    <row r="8" customFormat="false" ht="15" hidden="false" customHeight="false" outlineLevel="0" collapsed="false">
      <c r="B8" s="6" t="s">
        <v>168</v>
      </c>
      <c r="D8" s="30" t="n">
        <f aca="false">-SUM('Base Mensual'!C39:D39)</f>
        <v>-0</v>
      </c>
      <c r="E8" s="30" t="n">
        <f aca="false">-SUM('Base Mensual'!E39:P39)</f>
        <v>-0</v>
      </c>
      <c r="F8" s="30" t="n">
        <f aca="false">-SUM('Base Mensual'!Q39:U39)</f>
        <v>-204332.45</v>
      </c>
      <c r="G8" s="43" t="n">
        <f aca="false">SUM(C8:F8)</f>
        <v>-204332.45</v>
      </c>
      <c r="I8" s="31" t="n">
        <f aca="false">0</f>
        <v>0</v>
      </c>
      <c r="J8" s="31" t="n">
        <f aca="false">0</f>
        <v>0</v>
      </c>
      <c r="K8" s="31" t="n">
        <f aca="false">0</f>
        <v>0</v>
      </c>
    </row>
    <row r="9" customFormat="false" ht="15" hidden="false" customHeight="false" outlineLevel="0" collapsed="false">
      <c r="B9" s="6" t="s">
        <v>169</v>
      </c>
      <c r="D9" s="30" t="n">
        <f aca="false">0</f>
        <v>0</v>
      </c>
      <c r="E9" s="30" t="n">
        <f aca="false">0</f>
        <v>0</v>
      </c>
      <c r="F9" s="30" t="n">
        <f aca="false">0</f>
        <v>0</v>
      </c>
      <c r="G9" s="43" t="n">
        <f aca="false">SUM(C9:F9)</f>
        <v>0</v>
      </c>
      <c r="I9" s="31" t="n">
        <f aca="false">'Estado de Resultados'!H38</f>
        <v>-90285.3935400001</v>
      </c>
      <c r="J9" s="31" t="n">
        <f aca="false">'Estado de Resultados'!I38</f>
        <v>-129644.048908545</v>
      </c>
      <c r="K9" s="31" t="n">
        <f aca="false">'Estado de Resultados'!J38</f>
        <v>-173528.949644473</v>
      </c>
    </row>
    <row r="10" customFormat="false" ht="15" hidden="false" customHeight="false" outlineLevel="0" collapsed="false">
      <c r="B10" s="6" t="s">
        <v>170</v>
      </c>
      <c r="D10" s="30" t="n">
        <f aca="false">0</f>
        <v>0</v>
      </c>
      <c r="E10" s="30" t="n">
        <f aca="false">0</f>
        <v>0</v>
      </c>
      <c r="F10" s="30" t="n">
        <f aca="false">0</f>
        <v>0</v>
      </c>
      <c r="G10" s="43" t="n">
        <f aca="false">SUM(C10:F10)</f>
        <v>0</v>
      </c>
      <c r="I10" s="31" t="n">
        <f aca="false">-Supuestos!$C$16</f>
        <v>-0</v>
      </c>
      <c r="J10" s="31" t="n">
        <f aca="false">-Supuestos!$C$16</f>
        <v>-0</v>
      </c>
      <c r="K10" s="31" t="n">
        <f aca="false">-Supuestos!$C$16</f>
        <v>-0</v>
      </c>
    </row>
    <row r="11" customFormat="false" ht="15" hidden="false" customHeight="false" outlineLevel="0" collapsed="false">
      <c r="B11" s="16" t="s">
        <v>171</v>
      </c>
      <c r="C11" s="32" t="n">
        <f aca="false">SUM(C7:C10)</f>
        <v>0</v>
      </c>
      <c r="D11" s="32" t="n">
        <f aca="false">SUM(D7:D10)</f>
        <v>103297.16</v>
      </c>
      <c r="E11" s="32" t="n">
        <f aca="false">SUM(E7:E10)</f>
        <v>1002135.83</v>
      </c>
      <c r="F11" s="32" t="n">
        <f aca="false">SUM(F7:F10)</f>
        <v>229263.04</v>
      </c>
      <c r="G11" s="32" t="n">
        <f aca="false">SUM(C11:F11)</f>
        <v>1334696.03</v>
      </c>
      <c r="I11" s="32" t="n">
        <f aca="false">SUM(I7:I10)</f>
        <v>1123478.31826</v>
      </c>
      <c r="J11" s="32" t="n">
        <f aca="false">SUM(J7:J10)</f>
        <v>1223702.48974846</v>
      </c>
      <c r="K11" s="32" t="n">
        <f aca="false">SUM(K7:K10)</f>
        <v>1335452.44095808</v>
      </c>
    </row>
    <row r="13" customFormat="false" ht="15" hidden="false" customHeight="false" outlineLevel="0" collapsed="false">
      <c r="B13" s="24" t="s">
        <v>172</v>
      </c>
    </row>
    <row r="14" customFormat="false" ht="15" hidden="false" customHeight="false" outlineLevel="0" collapsed="false">
      <c r="B14" s="6" t="s">
        <v>173</v>
      </c>
      <c r="C14" s="31" t="n">
        <f aca="false">-Supuestos!$C$7</f>
        <v>-9128124</v>
      </c>
      <c r="D14" s="30" t="n">
        <f aca="false">0</f>
        <v>0</v>
      </c>
      <c r="E14" s="30" t="n">
        <f aca="false">0</f>
        <v>0</v>
      </c>
      <c r="F14" s="30" t="n">
        <f aca="false">0</f>
        <v>0</v>
      </c>
      <c r="G14" s="43" t="n">
        <f aca="false">SUM(C14:F14)</f>
        <v>-9128124</v>
      </c>
      <c r="I14" s="31" t="n">
        <f aca="false">0</f>
        <v>0</v>
      </c>
      <c r="J14" s="31" t="n">
        <f aca="false">0</f>
        <v>0</v>
      </c>
      <c r="K14" s="31" t="n">
        <f aca="false">0</f>
        <v>0</v>
      </c>
    </row>
    <row r="15" customFormat="false" ht="15" hidden="false" customHeight="false" outlineLevel="0" collapsed="false">
      <c r="B15" s="6" t="s">
        <v>174</v>
      </c>
      <c r="D15" s="30" t="n">
        <f aca="false">0</f>
        <v>0</v>
      </c>
      <c r="E15" s="30" t="n">
        <f aca="false">0</f>
        <v>0</v>
      </c>
      <c r="F15" s="30" t="n">
        <f aca="false">0</f>
        <v>0</v>
      </c>
      <c r="G15" s="43" t="n">
        <f aca="false">SUM(C15:F15)</f>
        <v>0</v>
      </c>
      <c r="I15" s="31" t="n">
        <f aca="false">-'Estado de Resultados'!H13*Supuestos!$C$14</f>
        <v>-83873.0896185</v>
      </c>
      <c r="J15" s="31" t="n">
        <f aca="false">-'Estado de Resultados'!I13*Supuestos!$C$14</f>
        <v>-93518.4949246275</v>
      </c>
      <c r="K15" s="31" t="n">
        <f aca="false">-'Estado de Resultados'!J13*Supuestos!$C$14</f>
        <v>-104273.12184096</v>
      </c>
    </row>
    <row r="16" customFormat="false" ht="15" hidden="false" customHeight="false" outlineLevel="0" collapsed="false">
      <c r="B16" s="16" t="s">
        <v>175</v>
      </c>
      <c r="C16" s="32" t="n">
        <f aca="false">SUM(C14:C15)</f>
        <v>-9128124</v>
      </c>
      <c r="D16" s="32" t="n">
        <f aca="false">SUM(D14:D15)</f>
        <v>0</v>
      </c>
      <c r="E16" s="32" t="n">
        <f aca="false">SUM(E14:E15)</f>
        <v>0</v>
      </c>
      <c r="F16" s="32" t="n">
        <f aca="false">SUM(F14:F15)</f>
        <v>0</v>
      </c>
      <c r="G16" s="32" t="n">
        <f aca="false">SUM(C16:F16)</f>
        <v>-9128124</v>
      </c>
      <c r="I16" s="32" t="n">
        <f aca="false">SUM(I14:I15)</f>
        <v>-83873.0896185</v>
      </c>
      <c r="J16" s="32" t="n">
        <f aca="false">SUM(J14:J15)</f>
        <v>-93518.4949246275</v>
      </c>
      <c r="K16" s="32" t="n">
        <f aca="false">SUM(K14:K15)</f>
        <v>-104273.12184096</v>
      </c>
    </row>
    <row r="18" customFormat="false" ht="15" hidden="false" customHeight="false" outlineLevel="0" collapsed="false">
      <c r="B18" s="24" t="s">
        <v>176</v>
      </c>
    </row>
    <row r="19" customFormat="false" ht="15" hidden="false" customHeight="false" outlineLevel="0" collapsed="false">
      <c r="B19" s="6" t="s">
        <v>177</v>
      </c>
      <c r="C19" s="31" t="n">
        <f aca="false">Supuestos!$C$7</f>
        <v>9128124</v>
      </c>
      <c r="D19" s="30" t="n">
        <f aca="false">0</f>
        <v>0</v>
      </c>
      <c r="E19" s="30" t="n">
        <f aca="false">0</f>
        <v>0</v>
      </c>
      <c r="F19" s="30" t="n">
        <f aca="false">0</f>
        <v>0</v>
      </c>
      <c r="G19" s="43" t="n">
        <f aca="false">SUM(C19:F19)</f>
        <v>9128124</v>
      </c>
      <c r="I19" s="31" t="n">
        <f aca="false">0</f>
        <v>0</v>
      </c>
      <c r="J19" s="31" t="n">
        <f aca="false">0</f>
        <v>0</v>
      </c>
      <c r="K19" s="31" t="n">
        <f aca="false">0</f>
        <v>0</v>
      </c>
    </row>
    <row r="20" customFormat="false" ht="15" hidden="false" customHeight="false" outlineLevel="0" collapsed="false">
      <c r="B20" s="6" t="s">
        <v>178</v>
      </c>
      <c r="D20" s="30" t="n">
        <f aca="false">-SUM('Base Mensual'!C43:D43)</f>
        <v>-56914</v>
      </c>
      <c r="E20" s="30" t="n">
        <f aca="false">-SUM('Base Mensual'!E43:P43)</f>
        <v>-534317</v>
      </c>
      <c r="F20" s="30" t="n">
        <f aca="false">-SUM('Base Mensual'!Q43:U43)</f>
        <v>-0</v>
      </c>
      <c r="G20" s="43" t="n">
        <f aca="false">SUM(C20:F20)</f>
        <v>-591231</v>
      </c>
      <c r="I20" s="31" t="n">
        <f aca="false">0</f>
        <v>0</v>
      </c>
      <c r="J20" s="31" t="n">
        <f aca="false">0</f>
        <v>0</v>
      </c>
      <c r="K20" s="31" t="n">
        <f aca="false">0</f>
        <v>0</v>
      </c>
    </row>
    <row r="21" customFormat="false" ht="15" hidden="false" customHeight="false" outlineLevel="0" collapsed="false">
      <c r="B21" s="6" t="s">
        <v>179</v>
      </c>
      <c r="D21" s="30" t="n">
        <f aca="false">-SUM('Base Mensual'!C44:D44)</f>
        <v>-0</v>
      </c>
      <c r="E21" s="30" t="n">
        <f aca="false">-SUM('Base Mensual'!E44:P44)</f>
        <v>-202000</v>
      </c>
      <c r="F21" s="30" t="n">
        <f aca="false">-SUM('Base Mensual'!Q44:U44)</f>
        <v>-26000</v>
      </c>
      <c r="G21" s="43" t="n">
        <f aca="false">SUM(C21:F21)</f>
        <v>-228000</v>
      </c>
      <c r="I21" s="31" t="n">
        <f aca="false">-MAX(0,'Estado de Resultados'!H39)*Supuestos!$C$15</f>
        <v>-0</v>
      </c>
      <c r="J21" s="31" t="n">
        <f aca="false">-MAX(0,'Estado de Resultados'!I39)*Supuestos!$C$15</f>
        <v>-0</v>
      </c>
      <c r="K21" s="31" t="n">
        <f aca="false">-MAX(0,'Estado de Resultados'!J39)*Supuestos!$C$15</f>
        <v>-0</v>
      </c>
    </row>
    <row r="22" customFormat="false" ht="15" hidden="false" customHeight="false" outlineLevel="0" collapsed="false">
      <c r="B22" s="6" t="s">
        <v>180</v>
      </c>
      <c r="D22" s="30" t="n">
        <f aca="false">SUM('Base Mensual'!C45:D45)-SUM('Base Mensual'!C46:D46)</f>
        <v>0</v>
      </c>
      <c r="E22" s="30" t="n">
        <f aca="false">SUM('Base Mensual'!E45:P45)-SUM('Base Mensual'!E46:P46)</f>
        <v>0</v>
      </c>
      <c r="F22" s="30" t="n">
        <f aca="false">SUM('Base Mensual'!Q45:U45)-SUM('Base Mensual'!Q46:U46)</f>
        <v>0</v>
      </c>
      <c r="G22" s="43" t="n">
        <f aca="false">SUM(C22:F22)</f>
        <v>0</v>
      </c>
      <c r="I22" s="31" t="n">
        <f aca="false">0</f>
        <v>0</v>
      </c>
      <c r="J22" s="31" t="n">
        <f aca="false">0</f>
        <v>0</v>
      </c>
      <c r="K22" s="31" t="n">
        <f aca="false">0</f>
        <v>0</v>
      </c>
    </row>
    <row r="23" customFormat="false" ht="15" hidden="false" customHeight="false" outlineLevel="0" collapsed="false">
      <c r="B23" s="16" t="s">
        <v>181</v>
      </c>
      <c r="C23" s="32" t="n">
        <f aca="false">SUM(C19:C22)</f>
        <v>9128124</v>
      </c>
      <c r="D23" s="32" t="n">
        <f aca="false">SUM(D19:D22)</f>
        <v>-56914</v>
      </c>
      <c r="E23" s="32" t="n">
        <f aca="false">SUM(E19:E22)</f>
        <v>-736317</v>
      </c>
      <c r="F23" s="32" t="n">
        <f aca="false">SUM(F19:F22)</f>
        <v>-26000</v>
      </c>
      <c r="G23" s="32" t="n">
        <f aca="false">SUM(C23:F23)</f>
        <v>8308893</v>
      </c>
      <c r="I23" s="32" t="n">
        <f aca="false">SUM(I19:I22)</f>
        <v>0</v>
      </c>
      <c r="J23" s="32" t="n">
        <f aca="false">SUM(J19:J22)</f>
        <v>0</v>
      </c>
      <c r="K23" s="32" t="n">
        <f aca="false">SUM(K19:K22)</f>
        <v>0</v>
      </c>
    </row>
    <row r="25" customFormat="false" ht="15" hidden="false" customHeight="false" outlineLevel="0" collapsed="false">
      <c r="B25" s="35" t="s">
        <v>182</v>
      </c>
      <c r="C25" s="36" t="n">
        <f aca="false">C11+C16+C23</f>
        <v>0</v>
      </c>
      <c r="D25" s="36" t="n">
        <f aca="false">D11+D16+D23</f>
        <v>46383.16</v>
      </c>
      <c r="E25" s="36" t="n">
        <f aca="false">E11+E16+E23</f>
        <v>265818.83</v>
      </c>
      <c r="F25" s="36" t="n">
        <f aca="false">F11+F16+F23</f>
        <v>203263.04</v>
      </c>
      <c r="G25" s="36" t="n">
        <f aca="false">SUM(C25:F25)</f>
        <v>515465.03</v>
      </c>
      <c r="I25" s="36" t="n">
        <f aca="false">I11+I16+I23</f>
        <v>1039605.2286415</v>
      </c>
      <c r="J25" s="36" t="n">
        <f aca="false">J11+J16+J23</f>
        <v>1130183.99482383</v>
      </c>
      <c r="K25" s="36" t="n">
        <f aca="false">K11+K16+K23</f>
        <v>1231179.31911712</v>
      </c>
    </row>
    <row r="26" customFormat="false" ht="15" hidden="false" customHeight="false" outlineLevel="0" collapsed="false">
      <c r="B26" s="6" t="s">
        <v>183</v>
      </c>
      <c r="C26" s="31" t="n">
        <v>0</v>
      </c>
      <c r="D26" s="31" t="n">
        <f aca="false">C27</f>
        <v>0</v>
      </c>
      <c r="E26" s="31" t="n">
        <f aca="false">D27</f>
        <v>46383.16</v>
      </c>
      <c r="F26" s="31" t="n">
        <f aca="false">E27</f>
        <v>312201.99</v>
      </c>
      <c r="G26" s="31" t="n">
        <f aca="false">C26</f>
        <v>0</v>
      </c>
      <c r="I26" s="31" t="n">
        <f aca="false">'Balance General'!D7</f>
        <v>519436.07</v>
      </c>
      <c r="J26" s="31" t="n">
        <f aca="false">I27</f>
        <v>1559041.2986415</v>
      </c>
      <c r="K26" s="31" t="n">
        <f aca="false">J27</f>
        <v>2689225.29346533</v>
      </c>
    </row>
    <row r="27" customFormat="false" ht="15" hidden="false" customHeight="false" outlineLevel="0" collapsed="false">
      <c r="B27" s="24" t="s">
        <v>184</v>
      </c>
      <c r="C27" s="44" t="n">
        <f aca="false">C26+C25</f>
        <v>0</v>
      </c>
      <c r="D27" s="44" t="n">
        <f aca="false">D26+D25</f>
        <v>46383.16</v>
      </c>
      <c r="E27" s="44" t="n">
        <f aca="false">E26+E25</f>
        <v>312201.99</v>
      </c>
      <c r="F27" s="44" t="n">
        <f aca="false">F26+F25</f>
        <v>515465.03</v>
      </c>
      <c r="G27" s="44" t="n">
        <f aca="false">G26+G25</f>
        <v>515465.03</v>
      </c>
      <c r="I27" s="44" t="n">
        <f aca="false">I26+I25</f>
        <v>1559041.2986415</v>
      </c>
      <c r="J27" s="44" t="n">
        <f aca="false">J26+J25</f>
        <v>2689225.29346533</v>
      </c>
      <c r="K27" s="44" t="n">
        <f aca="false">K26+K25</f>
        <v>3920404.61258245</v>
      </c>
    </row>
    <row r="28" customFormat="false" ht="27.75" hidden="false" customHeight="true" outlineLevel="0" collapsed="false">
      <c r="I28" s="45" t="s">
        <v>185</v>
      </c>
      <c r="J28" s="45"/>
      <c r="K28" s="45"/>
    </row>
    <row r="29" customFormat="false" ht="15" hidden="false" customHeight="false" outlineLevel="0" collapsed="false">
      <c r="B29" s="16" t="s">
        <v>186</v>
      </c>
      <c r="C29" s="17"/>
      <c r="D29" s="17"/>
      <c r="E29" s="17"/>
      <c r="F29" s="17"/>
      <c r="G29" s="17"/>
    </row>
    <row r="30" customFormat="false" ht="15" hidden="false" customHeight="false" outlineLevel="0" collapsed="false">
      <c r="B30" s="6" t="s">
        <v>187</v>
      </c>
      <c r="G30" s="30" t="n">
        <f aca="false">'Base Mensual'!T50</f>
        <v>463526.96</v>
      </c>
    </row>
    <row r="31" customFormat="false" ht="15" hidden="false" customHeight="false" outlineLevel="0" collapsed="false">
      <c r="B31" s="6" t="s">
        <v>188</v>
      </c>
      <c r="G31" s="30" t="n">
        <f aca="false">Supuestos!$C$30</f>
        <v>467498</v>
      </c>
    </row>
    <row r="32" customFormat="false" ht="15" hidden="false" customHeight="false" outlineLevel="0" collapsed="false">
      <c r="B32" s="24" t="s">
        <v>189</v>
      </c>
      <c r="G32" s="25" t="n">
        <f aca="false">G31-G30</f>
        <v>3971.03999999992</v>
      </c>
    </row>
    <row r="33" customFormat="false" ht="15" hidden="false" customHeight="false" outlineLevel="0" collapsed="false">
      <c r="B33" s="13" t="s">
        <v>190</v>
      </c>
      <c r="G33" s="46" t="n">
        <f aca="false">G32/G11</f>
        <v>0.00297523923855525</v>
      </c>
    </row>
    <row r="35" customFormat="false" ht="43.5" hidden="false" customHeight="true" outlineLevel="0" collapsed="false">
      <c r="B35" s="41" t="s">
        <v>191</v>
      </c>
      <c r="C35" s="41"/>
      <c r="D35" s="41"/>
      <c r="E35" s="41"/>
      <c r="F35" s="41"/>
      <c r="G35" s="41"/>
      <c r="H35" s="41"/>
      <c r="I35" s="41"/>
      <c r="J35" s="41"/>
      <c r="K35" s="41"/>
    </row>
    <row r="37" customFormat="false" ht="15" hidden="false" customHeight="false" outlineLevel="0" collapsed="false">
      <c r="B37" s="16" t="s">
        <v>192</v>
      </c>
      <c r="C37" s="17"/>
      <c r="D37" s="17"/>
      <c r="E37" s="17"/>
      <c r="F37" s="17"/>
      <c r="G37" s="17"/>
      <c r="H37" s="17"/>
      <c r="I37" s="17"/>
      <c r="J37" s="17"/>
      <c r="K37" s="17"/>
    </row>
    <row r="38" customFormat="false" ht="15" hidden="false" customHeight="false" outlineLevel="0" collapsed="false">
      <c r="G38" s="47" t="s">
        <v>193</v>
      </c>
      <c r="I38" s="47" t="s">
        <v>163</v>
      </c>
      <c r="J38" s="47" t="s">
        <v>164</v>
      </c>
      <c r="K38" s="47" t="s">
        <v>165</v>
      </c>
    </row>
    <row r="39" customFormat="false" ht="15" hidden="false" customHeight="false" outlineLevel="0" collapsed="false">
      <c r="B39" s="6" t="s">
        <v>167</v>
      </c>
      <c r="G39" s="30" t="n">
        <f aca="false">'Estado de Resultados'!F32</f>
        <v>1088577.32</v>
      </c>
      <c r="I39" s="30" t="n">
        <f aca="false">'Estado de Resultados'!H32</f>
        <v>1213763.7118</v>
      </c>
      <c r="J39" s="30" t="n">
        <f aca="false">'Estado de Resultados'!I32</f>
        <v>1353346.538657</v>
      </c>
      <c r="K39" s="30" t="n">
        <f aca="false">'Estado de Resultados'!J32</f>
        <v>1508981.39060255</v>
      </c>
    </row>
    <row r="40" customFormat="false" ht="15" hidden="false" customHeight="false" outlineLevel="0" collapsed="false">
      <c r="B40" s="6" t="s">
        <v>194</v>
      </c>
      <c r="G40" s="30" t="n">
        <f aca="false">'Estado de Resultados'!F38</f>
        <v>-52729.476</v>
      </c>
      <c r="I40" s="30" t="n">
        <f aca="false">'Estado de Resultados'!H38</f>
        <v>-90285.3935400001</v>
      </c>
      <c r="J40" s="30" t="n">
        <f aca="false">'Estado de Resultados'!I38</f>
        <v>-129644.048908545</v>
      </c>
      <c r="K40" s="30" t="n">
        <f aca="false">'Estado de Resultados'!J38</f>
        <v>-173528.949644473</v>
      </c>
    </row>
    <row r="41" customFormat="false" ht="15" hidden="false" customHeight="false" outlineLevel="0" collapsed="false">
      <c r="B41" s="6" t="s">
        <v>195</v>
      </c>
      <c r="G41" s="31" t="n">
        <f aca="false">-'Estado de Resultados'!F13*Supuestos!$C$14</f>
        <v>-75222.5019</v>
      </c>
      <c r="I41" s="31" t="n">
        <f aca="false">I15</f>
        <v>-83873.0896185</v>
      </c>
      <c r="J41" s="31" t="n">
        <f aca="false">J15</f>
        <v>-93518.4949246275</v>
      </c>
      <c r="K41" s="31" t="n">
        <f aca="false">K15</f>
        <v>-104273.12184096</v>
      </c>
    </row>
    <row r="42" customFormat="false" ht="15" hidden="false" customHeight="false" outlineLevel="0" collapsed="false">
      <c r="B42" s="6" t="s">
        <v>196</v>
      </c>
      <c r="G42" s="31" t="n">
        <f aca="false">-Supuestos!$C$16</f>
        <v>-0</v>
      </c>
      <c r="I42" s="31" t="n">
        <f aca="false">I10</f>
        <v>-0</v>
      </c>
      <c r="J42" s="31" t="n">
        <f aca="false">J10</f>
        <v>-0</v>
      </c>
      <c r="K42" s="31" t="n">
        <f aca="false">K10</f>
        <v>-0</v>
      </c>
    </row>
    <row r="43" customFormat="false" ht="15" hidden="false" customHeight="false" outlineLevel="0" collapsed="false">
      <c r="B43" s="24" t="s">
        <v>197</v>
      </c>
      <c r="G43" s="44" t="n">
        <f aca="false">SUM(G39:G42)</f>
        <v>960625.3421</v>
      </c>
      <c r="I43" s="44" t="n">
        <f aca="false">SUM(I39:I42)</f>
        <v>1039605.2286415</v>
      </c>
      <c r="J43" s="44" t="n">
        <f aca="false">SUM(J39:J42)</f>
        <v>1130183.99482383</v>
      </c>
      <c r="K43" s="44" t="n">
        <f aca="false">SUM(K39:K42)</f>
        <v>1231179.31911712</v>
      </c>
    </row>
    <row r="44" customFormat="false" ht="15" hidden="false" customHeight="false" outlineLevel="0" collapsed="false">
      <c r="B44" s="13" t="s">
        <v>198</v>
      </c>
      <c r="G44" s="46" t="n">
        <f aca="false">G43/G39</f>
        <v>0.882459449090856</v>
      </c>
      <c r="I44" s="46" t="n">
        <f aca="false">I43/I39</f>
        <v>0.856513684281906</v>
      </c>
      <c r="J44" s="46" t="n">
        <f aca="false">J43/J39</f>
        <v>0.835103177598083</v>
      </c>
      <c r="K44" s="46" t="n">
        <f aca="false">K43/K39</f>
        <v>0.815900929451156</v>
      </c>
    </row>
    <row r="45" customFormat="false" ht="15" hidden="false" customHeight="false" outlineLevel="0" collapsed="false">
      <c r="B45" s="13" t="s">
        <v>199</v>
      </c>
      <c r="G45" s="46" t="n">
        <f aca="false">G43/Supuestos!$C$40</f>
        <v>0.0291098588515151</v>
      </c>
      <c r="I45" s="46" t="n">
        <f aca="false">I43/Supuestos!$C$40</f>
        <v>0.0315031887467121</v>
      </c>
      <c r="J45" s="46" t="n">
        <f aca="false">J43/Supuestos!$C$40</f>
        <v>0.0342479998431463</v>
      </c>
      <c r="K45" s="46" t="n">
        <f aca="false">K43/Supuestos!$C$40</f>
        <v>0.0373084642156704</v>
      </c>
    </row>
  </sheetData>
  <mergeCells count="2">
    <mergeCell ref="I28:K28"/>
    <mergeCell ref="B35:K3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937"/>
    <pageSetUpPr fitToPage="true"/>
  </sheetPr>
  <dimension ref="B2:V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16"/>
    <col collapsed="false" customWidth="true" hidden="true" outlineLevel="0" max="23" min="9" style="0" width="13"/>
  </cols>
  <sheetData>
    <row r="2" customFormat="false" ht="25.5" hidden="false" customHeight="true" outlineLevel="0" collapsed="false">
      <c r="B2" s="12" t="s">
        <v>200</v>
      </c>
    </row>
    <row r="3" customFormat="false" ht="15" hidden="false" customHeight="false" outlineLevel="0" collapsed="false">
      <c r="B3" s="13" t="s">
        <v>201</v>
      </c>
    </row>
    <row r="5" customFormat="false" ht="30" hidden="false" customHeight="true" outlineLevel="0" collapsed="false">
      <c r="B5" s="14" t="s">
        <v>82</v>
      </c>
      <c r="C5" s="15" t="s">
        <v>202</v>
      </c>
      <c r="D5" s="15" t="s">
        <v>203</v>
      </c>
      <c r="E5" s="15" t="s">
        <v>204</v>
      </c>
    </row>
    <row r="6" customFormat="false" ht="15" hidden="false" customHeight="false" outlineLevel="0" collapsed="false">
      <c r="B6" s="6" t="s">
        <v>205</v>
      </c>
      <c r="C6" s="48" t="n">
        <f aca="false">Supuestos!$C$33</f>
        <v>3762</v>
      </c>
      <c r="D6" s="48" t="n">
        <f aca="false">Supuestos!$C$33</f>
        <v>3762</v>
      </c>
      <c r="E6" s="48" t="n">
        <f aca="false">Supuestos!$C$33</f>
        <v>3762</v>
      </c>
    </row>
    <row r="7" customFormat="false" ht="15" hidden="false" customHeight="false" outlineLevel="0" collapsed="false">
      <c r="B7" s="6" t="s">
        <v>206</v>
      </c>
      <c r="C7" s="30" t="n">
        <f aca="false">Supuestos!$C$34</f>
        <v>7000</v>
      </c>
      <c r="D7" s="30" t="n">
        <f aca="false">Supuestos!$C$35</f>
        <v>8000</v>
      </c>
      <c r="E7" s="30" t="n">
        <f aca="false">Supuestos!$C$36</f>
        <v>9500</v>
      </c>
    </row>
    <row r="8" customFormat="false" ht="15" hidden="false" customHeight="false" outlineLevel="0" collapsed="false">
      <c r="B8" s="24" t="s">
        <v>207</v>
      </c>
      <c r="C8" s="25" t="n">
        <f aca="false">C6*C7</f>
        <v>26334000</v>
      </c>
      <c r="D8" s="25" t="n">
        <f aca="false">D6*D7</f>
        <v>30096000</v>
      </c>
      <c r="E8" s="25" t="n">
        <f aca="false">E6*E7</f>
        <v>35739000</v>
      </c>
    </row>
    <row r="10" customFormat="false" ht="15" hidden="false" customHeight="false" outlineLevel="0" collapsed="false">
      <c r="B10" s="6" t="s">
        <v>208</v>
      </c>
      <c r="C10" s="30" t="n">
        <f aca="false">'Estado de Resultados'!$F$32</f>
        <v>1088577.32</v>
      </c>
      <c r="D10" s="30" t="n">
        <f aca="false">'Estado de Resultados'!$F$32</f>
        <v>1088577.32</v>
      </c>
      <c r="E10" s="30" t="n">
        <f aca="false">'Estado de Resultados'!$F$32</f>
        <v>1088577.32</v>
      </c>
    </row>
    <row r="11" customFormat="false" ht="15" hidden="false" customHeight="false" outlineLevel="0" collapsed="false">
      <c r="B11" s="6" t="s">
        <v>209</v>
      </c>
      <c r="C11" s="49" t="n">
        <f aca="false">Supuestos!$C$37</f>
        <v>5</v>
      </c>
      <c r="D11" s="49" t="n">
        <f aca="false">Supuestos!$C$38</f>
        <v>6.5</v>
      </c>
      <c r="E11" s="49" t="n">
        <f aca="false">Supuestos!$C$39</f>
        <v>8</v>
      </c>
    </row>
    <row r="12" customFormat="false" ht="15" hidden="false" customHeight="false" outlineLevel="0" collapsed="false">
      <c r="B12" s="24" t="s">
        <v>210</v>
      </c>
      <c r="C12" s="25" t="n">
        <f aca="false">C10*C11</f>
        <v>5442886.6</v>
      </c>
      <c r="D12" s="25" t="n">
        <f aca="false">D10*D11</f>
        <v>7075752.58</v>
      </c>
      <c r="E12" s="25" t="n">
        <f aca="false">E10*E11</f>
        <v>8708618.56</v>
      </c>
    </row>
    <row r="14" customFormat="false" ht="15" hidden="false" customHeight="false" outlineLevel="0" collapsed="false">
      <c r="B14" s="35" t="s">
        <v>211</v>
      </c>
      <c r="C14" s="36" t="n">
        <f aca="false">C8+C12</f>
        <v>31776886.6</v>
      </c>
      <c r="D14" s="36" t="n">
        <f aca="false">D8+D12</f>
        <v>37171752.58</v>
      </c>
      <c r="E14" s="36" t="n">
        <f aca="false">E8+E12</f>
        <v>44447618.56</v>
      </c>
    </row>
    <row r="15" customFormat="false" ht="15" hidden="false" customHeight="false" outlineLevel="0" collapsed="false">
      <c r="B15" s="6" t="s">
        <v>212</v>
      </c>
      <c r="C15" s="30" t="n">
        <f aca="false">'Balance General'!$D$7</f>
        <v>519436.07</v>
      </c>
      <c r="D15" s="30" t="n">
        <f aca="false">'Balance General'!$D$7</f>
        <v>519436.07</v>
      </c>
      <c r="E15" s="30" t="n">
        <f aca="false">'Balance General'!$D$7</f>
        <v>519436.07</v>
      </c>
    </row>
    <row r="16" customFormat="false" ht="15" hidden="false" customHeight="false" outlineLevel="0" collapsed="false">
      <c r="B16" s="6" t="s">
        <v>213</v>
      </c>
      <c r="C16" s="30" t="n">
        <f aca="false">-'Balance General'!$D$20</f>
        <v>-0</v>
      </c>
      <c r="D16" s="30" t="n">
        <f aca="false">-'Balance General'!$D$20</f>
        <v>-0</v>
      </c>
      <c r="E16" s="30" t="n">
        <f aca="false">-'Balance General'!$D$20</f>
        <v>-0</v>
      </c>
    </row>
    <row r="17" customFormat="false" ht="15" hidden="false" customHeight="false" outlineLevel="0" collapsed="false">
      <c r="B17" s="24" t="s">
        <v>214</v>
      </c>
      <c r="C17" s="44" t="n">
        <f aca="false">SUM(C14:C16)</f>
        <v>32296322.67</v>
      </c>
      <c r="D17" s="44" t="n">
        <f aca="false">SUM(D14:D16)</f>
        <v>37691188.65</v>
      </c>
      <c r="E17" s="44" t="n">
        <f aca="false">SUM(E14:E16)</f>
        <v>44967054.63</v>
      </c>
    </row>
    <row r="19" customFormat="false" ht="15" hidden="false" customHeight="false" outlineLevel="0" collapsed="false">
      <c r="B19" s="6" t="s">
        <v>215</v>
      </c>
      <c r="C19" s="30" t="n">
        <f aca="false">Supuestos!$C$40</f>
        <v>33000000</v>
      </c>
      <c r="D19" s="30" t="n">
        <f aca="false">Supuestos!$C$40</f>
        <v>33000000</v>
      </c>
      <c r="E19" s="30" t="n">
        <f aca="false">Supuestos!$C$40</f>
        <v>33000000</v>
      </c>
    </row>
    <row r="20" customFormat="false" ht="15" hidden="false" customHeight="false" outlineLevel="0" collapsed="false">
      <c r="B20" s="6" t="s">
        <v>216</v>
      </c>
      <c r="C20" s="34" t="n">
        <f aca="false">C19/C14-1</f>
        <v>0.0384906619517595</v>
      </c>
      <c r="D20" s="34" t="n">
        <f aca="false">D19/D14-1</f>
        <v>-0.112229106524414</v>
      </c>
      <c r="E20" s="34" t="n">
        <f aca="false">E19/E14-1</f>
        <v>-0.257553023781169</v>
      </c>
    </row>
    <row r="21" customFormat="false" ht="15" hidden="false" customHeight="false" outlineLevel="0" collapsed="false">
      <c r="B21" s="24" t="s">
        <v>217</v>
      </c>
      <c r="C21" s="50" t="n">
        <f aca="false">IF(C19&lt;C8,"Precio &lt; terreno",(C19-C8)/C10)</f>
        <v>6.12358890593091</v>
      </c>
      <c r="D21" s="50" t="n">
        <f aca="false">IF(D19&lt;D8,"Precio &lt; terreno",(D19-D8)/D10)</f>
        <v>2.66770209763327</v>
      </c>
      <c r="E21" s="50" t="str">
        <f aca="false">IF(E19&lt;E8,"Precio &lt; terreno",(E19-E8)/E10)</f>
        <v>Precio &lt; terreno</v>
      </c>
    </row>
    <row r="22" customFormat="false" ht="15" hidden="false" customHeight="false" outlineLevel="0" collapsed="false">
      <c r="B22" s="6" t="s">
        <v>218</v>
      </c>
      <c r="C22" s="51" t="n">
        <f aca="false">C19/C10</f>
        <v>30.3147965640144</v>
      </c>
      <c r="D22" s="51" t="n">
        <f aca="false">D19/D10</f>
        <v>30.3147965640144</v>
      </c>
      <c r="E22" s="51" t="n">
        <f aca="false">E19/E10</f>
        <v>30.3147965640144</v>
      </c>
    </row>
    <row r="24" customFormat="false" ht="55.5" hidden="false" customHeight="true" outlineLevel="0" collapsed="false">
      <c r="B24" s="41" t="s">
        <v>219</v>
      </c>
      <c r="C24" s="41"/>
      <c r="D24" s="41"/>
      <c r="E24" s="41"/>
      <c r="F24" s="41"/>
      <c r="G24" s="41"/>
    </row>
    <row r="26" customFormat="false" ht="15" hidden="false" customHeight="false" outlineLevel="0" collapsed="false">
      <c r="B26" s="16" t="s">
        <v>220</v>
      </c>
      <c r="C26" s="17"/>
      <c r="D26" s="17"/>
      <c r="E26" s="17"/>
      <c r="F26" s="17"/>
      <c r="G26" s="17"/>
    </row>
    <row r="27" customFormat="false" ht="42" hidden="false" customHeight="true" outlineLevel="0" collapsed="false">
      <c r="B27" s="41" t="s">
        <v>221</v>
      </c>
      <c r="C27" s="41"/>
      <c r="D27" s="41"/>
      <c r="E27" s="41"/>
      <c r="F27" s="41"/>
      <c r="G27" s="41"/>
    </row>
    <row r="28" customFormat="false" ht="30" hidden="false" customHeight="true" outlineLevel="0" collapsed="false">
      <c r="B28" s="14" t="s">
        <v>222</v>
      </c>
      <c r="C28" s="15" t="s">
        <v>202</v>
      </c>
      <c r="D28" s="15" t="s">
        <v>203</v>
      </c>
      <c r="E28" s="15" t="s">
        <v>204</v>
      </c>
    </row>
    <row r="29" customFormat="false" ht="15" hidden="false" customHeight="false" outlineLevel="0" collapsed="false">
      <c r="B29" s="6" t="s">
        <v>223</v>
      </c>
      <c r="C29" s="30" t="n">
        <f aca="false">-Supuestos!$C$40</f>
        <v>-33000000</v>
      </c>
      <c r="D29" s="30" t="n">
        <f aca="false">-Supuestos!$C$40</f>
        <v>-33000000</v>
      </c>
      <c r="E29" s="30" t="n">
        <f aca="false">-Supuestos!$C$40</f>
        <v>-33000000</v>
      </c>
    </row>
    <row r="30" customFormat="false" ht="15" hidden="false" customHeight="false" outlineLevel="0" collapsed="false">
      <c r="B30" s="6" t="s">
        <v>224</v>
      </c>
      <c r="C30" s="30" t="n">
        <f aca="false">'Flujo de Efectivo'!$I$43</f>
        <v>1039605.2286415</v>
      </c>
      <c r="D30" s="30" t="n">
        <f aca="false">'Flujo de Efectivo'!$I$43</f>
        <v>1039605.2286415</v>
      </c>
      <c r="E30" s="30" t="n">
        <f aca="false">'Flujo de Efectivo'!$I$43</f>
        <v>1039605.2286415</v>
      </c>
    </row>
    <row r="31" customFormat="false" ht="15" hidden="false" customHeight="false" outlineLevel="0" collapsed="false">
      <c r="B31" s="6" t="s">
        <v>225</v>
      </c>
      <c r="C31" s="30" t="n">
        <f aca="false">'Flujo de Efectivo'!$J$43</f>
        <v>1130183.99482383</v>
      </c>
      <c r="D31" s="30" t="n">
        <f aca="false">'Flujo de Efectivo'!$J$43</f>
        <v>1130183.99482383</v>
      </c>
      <c r="E31" s="30" t="n">
        <f aca="false">'Flujo de Efectivo'!$J$43</f>
        <v>1130183.99482383</v>
      </c>
    </row>
    <row r="32" customFormat="false" ht="15" hidden="false" customHeight="false" outlineLevel="0" collapsed="false">
      <c r="B32" s="6" t="s">
        <v>226</v>
      </c>
      <c r="C32" s="30" t="n">
        <f aca="false">'Flujo de Efectivo'!$K$43+C8+C11*'Estado de Resultados'!$J$32</f>
        <v>35110086.2721299</v>
      </c>
      <c r="D32" s="30" t="n">
        <f aca="false">'Flujo de Efectivo'!$K$43+D8+D11*'Estado de Resultados'!$J$32</f>
        <v>41135558.3580337</v>
      </c>
      <c r="E32" s="30" t="n">
        <f aca="false">'Flujo de Efectivo'!$K$43+E8+E11*'Estado de Resultados'!$J$32</f>
        <v>49042030.4439376</v>
      </c>
    </row>
    <row r="33" customFormat="false" ht="15" hidden="false" customHeight="false" outlineLevel="0" collapsed="false">
      <c r="B33" s="24" t="s">
        <v>227</v>
      </c>
      <c r="C33" s="52" t="n">
        <f aca="false">IRR(C29:C32)</f>
        <v>0.0427808588533832</v>
      </c>
      <c r="D33" s="52" t="n">
        <f aca="false">IRR(D29:D32)</f>
        <v>0.0975340232901693</v>
      </c>
      <c r="E33" s="52" t="n">
        <f aca="false">IRR(E29:E32)</f>
        <v>0.161866027978547</v>
      </c>
    </row>
    <row r="34" customFormat="false" ht="15" hidden="false" customHeight="false" outlineLevel="0" collapsed="false">
      <c r="B34" s="24" t="s">
        <v>228</v>
      </c>
      <c r="C34" s="53" t="n">
        <f aca="false">SUM(C30:C32)/-C29</f>
        <v>1.12969319683622</v>
      </c>
      <c r="D34" s="53" t="n">
        <f aca="false">SUM(D30:D32)/-D29</f>
        <v>1.31228326004543</v>
      </c>
      <c r="E34" s="53" t="n">
        <f aca="false">SUM(E30:E32)/-E29</f>
        <v>1.55187332325463</v>
      </c>
    </row>
    <row r="36" customFormat="false" ht="15" hidden="false" customHeight="false" outlineLevel="0" collapsed="false">
      <c r="B36" s="16" t="s">
        <v>229</v>
      </c>
      <c r="C36" s="17"/>
      <c r="D36" s="17"/>
      <c r="E36" s="17"/>
      <c r="F36" s="17"/>
      <c r="G36" s="17"/>
    </row>
    <row r="37" customFormat="false" ht="15" hidden="false" customHeight="false" outlineLevel="0" collapsed="false">
      <c r="B37" s="54" t="s">
        <v>230</v>
      </c>
      <c r="C37" s="50" t="n">
        <f aca="false">Supuestos!$C$37</f>
        <v>5</v>
      </c>
      <c r="D37" s="50" t="n">
        <f aca="false">Supuestos!$C$38</f>
        <v>6.5</v>
      </c>
      <c r="E37" s="50" t="n">
        <f aca="false">Supuestos!$C$39</f>
        <v>8</v>
      </c>
    </row>
    <row r="38" customFormat="false" ht="15" hidden="false" customHeight="false" outlineLevel="0" collapsed="false">
      <c r="B38" s="55" t="n">
        <f aca="false">Supuestos!$C$34</f>
        <v>7000</v>
      </c>
      <c r="C38" s="34" t="n">
        <f aca="false">IRR(I38:L38)</f>
        <v>0.0427808588533832</v>
      </c>
      <c r="D38" s="34" t="n">
        <f aca="false">IRR(N38:Q38)</f>
        <v>0.064026230971039</v>
      </c>
      <c r="E38" s="34" t="n">
        <f aca="false">IRR(S38:V38)</f>
        <v>0.0844393275632267</v>
      </c>
      <c r="I38" s="56" t="n">
        <f aca="false">-Supuestos!$C$40</f>
        <v>-33000000</v>
      </c>
      <c r="J38" s="56" t="n">
        <f aca="false">'Flujo de Efectivo'!$I$43</f>
        <v>1039605.2286415</v>
      </c>
      <c r="K38" s="56" t="n">
        <f aca="false">'Flujo de Efectivo'!$J$43</f>
        <v>1130183.99482383</v>
      </c>
      <c r="L38" s="56" t="n">
        <f aca="false">'Flujo de Efectivo'!$K$43+$B38*Supuestos!$C$33+C$37*'Estado de Resultados'!$J$32</f>
        <v>35110086.2721299</v>
      </c>
      <c r="N38" s="56" t="n">
        <f aca="false">-Supuestos!$C$40</f>
        <v>-33000000</v>
      </c>
      <c r="O38" s="56" t="n">
        <f aca="false">'Flujo de Efectivo'!$I$43</f>
        <v>1039605.2286415</v>
      </c>
      <c r="P38" s="56" t="n">
        <f aca="false">'Flujo de Efectivo'!$J$43</f>
        <v>1130183.99482383</v>
      </c>
      <c r="Q38" s="56" t="n">
        <f aca="false">'Flujo de Efectivo'!$K$43+$B38*Supuestos!$C$33+D$37*'Estado de Resultados'!$J$32</f>
        <v>37373558.3580337</v>
      </c>
      <c r="S38" s="56" t="n">
        <f aca="false">-Supuestos!$C$40</f>
        <v>-33000000</v>
      </c>
      <c r="T38" s="56" t="n">
        <f aca="false">'Flujo de Efectivo'!$I$43</f>
        <v>1039605.2286415</v>
      </c>
      <c r="U38" s="56" t="n">
        <f aca="false">'Flujo de Efectivo'!$J$43</f>
        <v>1130183.99482383</v>
      </c>
      <c r="V38" s="56" t="n">
        <f aca="false">'Flujo de Efectivo'!$K$43+$B38*Supuestos!$C$33+E$37*'Estado de Resultados'!$J$32</f>
        <v>39637030.4439376</v>
      </c>
    </row>
    <row r="39" customFormat="false" ht="15" hidden="false" customHeight="false" outlineLevel="0" collapsed="false">
      <c r="B39" s="55" t="n">
        <f aca="false">Supuestos!$C$35</f>
        <v>8000</v>
      </c>
      <c r="C39" s="34" t="n">
        <f aca="false">IRR(I39:L39)</f>
        <v>0.0776287651376523</v>
      </c>
      <c r="D39" s="34" t="n">
        <f aca="false">IRR(N39:Q39)</f>
        <v>0.0975340232901693</v>
      </c>
      <c r="E39" s="34" t="n">
        <f aca="false">IRR(S39:V39)</f>
        <v>0.116729135637212</v>
      </c>
      <c r="I39" s="56" t="n">
        <f aca="false">-Supuestos!$C$40</f>
        <v>-33000000</v>
      </c>
      <c r="J39" s="56" t="n">
        <f aca="false">'Flujo de Efectivo'!$I$43</f>
        <v>1039605.2286415</v>
      </c>
      <c r="K39" s="56" t="n">
        <f aca="false">'Flujo de Efectivo'!$J$43</f>
        <v>1130183.99482383</v>
      </c>
      <c r="L39" s="56" t="n">
        <f aca="false">'Flujo de Efectivo'!$K$43+$B39*Supuestos!$C$33+C$37*'Estado de Resultados'!$J$32</f>
        <v>38872086.2721299</v>
      </c>
      <c r="N39" s="56" t="n">
        <f aca="false">-Supuestos!$C$40</f>
        <v>-33000000</v>
      </c>
      <c r="O39" s="56" t="n">
        <f aca="false">'Flujo de Efectivo'!$I$43</f>
        <v>1039605.2286415</v>
      </c>
      <c r="P39" s="56" t="n">
        <f aca="false">'Flujo de Efectivo'!$J$43</f>
        <v>1130183.99482383</v>
      </c>
      <c r="Q39" s="56" t="n">
        <f aca="false">'Flujo de Efectivo'!$K$43+$B39*Supuestos!$C$33+D$37*'Estado de Resultados'!$J$32</f>
        <v>41135558.3580337</v>
      </c>
      <c r="S39" s="56" t="n">
        <f aca="false">-Supuestos!$C$40</f>
        <v>-33000000</v>
      </c>
      <c r="T39" s="56" t="n">
        <f aca="false">'Flujo de Efectivo'!$I$43</f>
        <v>1039605.2286415</v>
      </c>
      <c r="U39" s="56" t="n">
        <f aca="false">'Flujo de Efectivo'!$J$43</f>
        <v>1130183.99482383</v>
      </c>
      <c r="V39" s="56" t="n">
        <f aca="false">'Flujo de Efectivo'!$K$43+$B39*Supuestos!$C$33+E$37*'Estado de Resultados'!$J$32</f>
        <v>43399030.4439376</v>
      </c>
    </row>
    <row r="40" customFormat="false" ht="15" hidden="false" customHeight="false" outlineLevel="0" collapsed="false">
      <c r="B40" s="55" t="n">
        <f aca="false">Supuestos!$C$36</f>
        <v>9500</v>
      </c>
      <c r="C40" s="34" t="n">
        <f aca="false">IRR(I40:L40)</f>
        <v>0.125951062809561</v>
      </c>
      <c r="D40" s="34" t="n">
        <f aca="false">IRR(N40:Q40)</f>
        <v>0.14419556276826</v>
      </c>
      <c r="E40" s="34" t="n">
        <f aca="false">IRR(S40:V40)</f>
        <v>0.161866027978547</v>
      </c>
      <c r="I40" s="56" t="n">
        <f aca="false">-Supuestos!$C$40</f>
        <v>-33000000</v>
      </c>
      <c r="J40" s="56" t="n">
        <f aca="false">'Flujo de Efectivo'!$I$43</f>
        <v>1039605.2286415</v>
      </c>
      <c r="K40" s="56" t="n">
        <f aca="false">'Flujo de Efectivo'!$J$43</f>
        <v>1130183.99482383</v>
      </c>
      <c r="L40" s="56" t="n">
        <f aca="false">'Flujo de Efectivo'!$K$43+$B40*Supuestos!$C$33+C$37*'Estado de Resultados'!$J$32</f>
        <v>44515086.2721299</v>
      </c>
      <c r="N40" s="56" t="n">
        <f aca="false">-Supuestos!$C$40</f>
        <v>-33000000</v>
      </c>
      <c r="O40" s="56" t="n">
        <f aca="false">'Flujo de Efectivo'!$I$43</f>
        <v>1039605.2286415</v>
      </c>
      <c r="P40" s="56" t="n">
        <f aca="false">'Flujo de Efectivo'!$J$43</f>
        <v>1130183.99482383</v>
      </c>
      <c r="Q40" s="56" t="n">
        <f aca="false">'Flujo de Efectivo'!$K$43+$B40*Supuestos!$C$33+D$37*'Estado de Resultados'!$J$32</f>
        <v>46778558.3580337</v>
      </c>
      <c r="S40" s="56" t="n">
        <f aca="false">-Supuestos!$C$40</f>
        <v>-33000000</v>
      </c>
      <c r="T40" s="56" t="n">
        <f aca="false">'Flujo de Efectivo'!$I$43</f>
        <v>1039605.2286415</v>
      </c>
      <c r="U40" s="56" t="n">
        <f aca="false">'Flujo de Efectivo'!$J$43</f>
        <v>1130183.99482383</v>
      </c>
      <c r="V40" s="56" t="n">
        <f aca="false">'Flujo de Efectivo'!$K$43+$B40*Supuestos!$C$33+E$37*'Estado de Resultados'!$J$32</f>
        <v>49042030.4439376</v>
      </c>
    </row>
    <row r="42" customFormat="false" ht="15" hidden="false" customHeight="true" outlineLevel="0" collapsed="false">
      <c r="B42" s="45" t="s">
        <v>231</v>
      </c>
      <c r="C42" s="45"/>
      <c r="D42" s="45"/>
      <c r="E42" s="45"/>
      <c r="F42" s="45"/>
      <c r="G42" s="45"/>
    </row>
  </sheetData>
  <mergeCells count="3">
    <mergeCell ref="B24:G24"/>
    <mergeCell ref="B27:G27"/>
    <mergeCell ref="B42:G4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937"/>
    <pageSetUpPr fitToPage="true"/>
  </sheetPr>
  <dimension ref="B2:C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
    <col collapsed="false" customWidth="true" hidden="false" outlineLevel="0" max="3" min="3" style="0" width="120"/>
  </cols>
  <sheetData>
    <row r="2" customFormat="false" ht="25.5" hidden="false" customHeight="true" outlineLevel="0" collapsed="false">
      <c r="B2" s="12" t="s">
        <v>232</v>
      </c>
    </row>
    <row r="3" customFormat="false" ht="15" hidden="false" customHeight="false" outlineLevel="0" collapsed="false">
      <c r="B3" s="13" t="s">
        <v>233</v>
      </c>
    </row>
    <row r="5" customFormat="false" ht="15" hidden="false" customHeight="false" outlineLevel="0" collapsed="false">
      <c r="B5" s="57" t="s">
        <v>234</v>
      </c>
      <c r="C5" s="58" t="s">
        <v>235</v>
      </c>
    </row>
    <row r="6" customFormat="false" ht="60" hidden="false" customHeight="true" outlineLevel="0" collapsed="false">
      <c r="C6" s="59" t="s">
        <v>236</v>
      </c>
    </row>
    <row r="8" customFormat="false" ht="15" hidden="false" customHeight="false" outlineLevel="0" collapsed="false">
      <c r="B8" s="57" t="s">
        <v>237</v>
      </c>
      <c r="C8" s="58" t="s">
        <v>238</v>
      </c>
    </row>
    <row r="9" customFormat="false" ht="60" hidden="false" customHeight="true" outlineLevel="0" collapsed="false">
      <c r="C9" s="59" t="s">
        <v>239</v>
      </c>
    </row>
    <row r="11" customFormat="false" ht="15" hidden="false" customHeight="false" outlineLevel="0" collapsed="false">
      <c r="B11" s="57" t="s">
        <v>240</v>
      </c>
      <c r="C11" s="58" t="s">
        <v>241</v>
      </c>
    </row>
    <row r="12" customFormat="false" ht="75" hidden="false" customHeight="true" outlineLevel="0" collapsed="false">
      <c r="C12" s="59" t="s">
        <v>242</v>
      </c>
    </row>
    <row r="14" customFormat="false" ht="15" hidden="false" customHeight="false" outlineLevel="0" collapsed="false">
      <c r="B14" s="57" t="s">
        <v>243</v>
      </c>
      <c r="C14" s="58" t="s">
        <v>244</v>
      </c>
    </row>
    <row r="15" customFormat="false" ht="60" hidden="false" customHeight="true" outlineLevel="0" collapsed="false">
      <c r="C15" s="59" t="s">
        <v>245</v>
      </c>
    </row>
    <row r="17" customFormat="false" ht="15" hidden="false" customHeight="false" outlineLevel="0" collapsed="false">
      <c r="B17" s="57" t="s">
        <v>246</v>
      </c>
      <c r="C17" s="58" t="s">
        <v>247</v>
      </c>
    </row>
    <row r="18" customFormat="false" ht="45" hidden="false" customHeight="true" outlineLevel="0" collapsed="false">
      <c r="C18" s="59" t="s">
        <v>248</v>
      </c>
    </row>
    <row r="20" customFormat="false" ht="15" hidden="false" customHeight="false" outlineLevel="0" collapsed="false">
      <c r="B20" s="57" t="s">
        <v>249</v>
      </c>
      <c r="C20" s="58" t="s">
        <v>250</v>
      </c>
    </row>
    <row r="21" customFormat="false" ht="90" hidden="false" customHeight="true" outlineLevel="0" collapsed="false">
      <c r="C21" s="59" t="s">
        <v>251</v>
      </c>
    </row>
    <row r="23" customFormat="false" ht="15" hidden="false" customHeight="false" outlineLevel="0" collapsed="false">
      <c r="B23" s="57" t="s">
        <v>252</v>
      </c>
      <c r="C23" s="58" t="s">
        <v>253</v>
      </c>
    </row>
    <row r="24" customFormat="false" ht="75" hidden="false" customHeight="true" outlineLevel="0" collapsed="false">
      <c r="C24" s="59" t="s">
        <v>254</v>
      </c>
    </row>
    <row r="26" customFormat="false" ht="15" hidden="false" customHeight="false" outlineLevel="0" collapsed="false">
      <c r="B26" s="57" t="s">
        <v>255</v>
      </c>
      <c r="C26" s="58" t="s">
        <v>256</v>
      </c>
    </row>
    <row r="27" customFormat="false" ht="60" hidden="false" customHeight="true" outlineLevel="0" collapsed="false">
      <c r="C27" s="59" t="s">
        <v>257</v>
      </c>
    </row>
    <row r="29" customFormat="false" ht="15" hidden="false" customHeight="false" outlineLevel="0" collapsed="false">
      <c r="B29" s="57" t="s">
        <v>258</v>
      </c>
      <c r="C29" s="58" t="s">
        <v>259</v>
      </c>
    </row>
    <row r="30" customFormat="false" ht="30" hidden="false" customHeight="true" outlineLevel="0" collapsed="false">
      <c r="C30" s="59" t="s">
        <v>260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937"/>
    <pageSetUpPr fitToPage="true"/>
  </sheetPr>
  <dimension ref="B2:V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21" min="3" style="0" width="11"/>
    <col collapsed="false" customWidth="true" hidden="false" outlineLevel="0" max="22" min="22" style="0" width="13"/>
  </cols>
  <sheetData>
    <row r="2" customFormat="false" ht="25.5" hidden="false" customHeight="true" outlineLevel="0" collapsed="false">
      <c r="B2" s="12" t="s">
        <v>261</v>
      </c>
    </row>
    <row r="3" customFormat="false" ht="15" hidden="false" customHeight="false" outlineLevel="0" collapsed="false">
      <c r="B3" s="13" t="s">
        <v>262</v>
      </c>
    </row>
    <row r="5" customFormat="false" ht="30" hidden="false" customHeight="true" outlineLevel="0" collapsed="false">
      <c r="B5" s="14" t="s">
        <v>82</v>
      </c>
      <c r="C5" s="15" t="s">
        <v>263</v>
      </c>
      <c r="D5" s="15" t="s">
        <v>264</v>
      </c>
      <c r="E5" s="15" t="s">
        <v>265</v>
      </c>
      <c r="F5" s="15" t="s">
        <v>266</v>
      </c>
      <c r="G5" s="15" t="s">
        <v>267</v>
      </c>
      <c r="H5" s="15" t="s">
        <v>268</v>
      </c>
      <c r="I5" s="15" t="s">
        <v>269</v>
      </c>
      <c r="J5" s="15" t="s">
        <v>270</v>
      </c>
      <c r="K5" s="15" t="s">
        <v>271</v>
      </c>
      <c r="L5" s="15" t="s">
        <v>272</v>
      </c>
      <c r="M5" s="15" t="s">
        <v>273</v>
      </c>
      <c r="N5" s="15" t="s">
        <v>274</v>
      </c>
      <c r="O5" s="15" t="s">
        <v>275</v>
      </c>
      <c r="P5" s="15" t="s">
        <v>276</v>
      </c>
      <c r="Q5" s="15" t="s">
        <v>277</v>
      </c>
      <c r="R5" s="15" t="s">
        <v>278</v>
      </c>
      <c r="S5" s="15" t="s">
        <v>279</v>
      </c>
      <c r="T5" s="15" t="s">
        <v>280</v>
      </c>
      <c r="U5" s="15" t="s">
        <v>281</v>
      </c>
      <c r="V5" s="15" t="s">
        <v>282</v>
      </c>
    </row>
    <row r="6" customFormat="false" ht="15" hidden="false" customHeight="false" outlineLevel="0" collapsed="false">
      <c r="B6" s="16" t="s">
        <v>283</v>
      </c>
      <c r="C6" s="17"/>
      <c r="D6" s="17"/>
      <c r="E6" s="17"/>
      <c r="F6" s="17"/>
      <c r="G6" s="17"/>
      <c r="H6" s="17"/>
      <c r="I6" s="17"/>
      <c r="J6" s="17"/>
      <c r="K6" s="17"/>
      <c r="L6" s="17"/>
      <c r="M6" s="17"/>
      <c r="N6" s="17"/>
      <c r="O6" s="17"/>
      <c r="P6" s="17"/>
      <c r="Q6" s="17"/>
      <c r="R6" s="17"/>
      <c r="S6" s="17"/>
      <c r="T6" s="17"/>
      <c r="U6" s="17"/>
      <c r="V6" s="17"/>
    </row>
    <row r="7" customFormat="false" ht="15" hidden="false" customHeight="false" outlineLevel="0" collapsed="false">
      <c r="B7" s="6" t="s">
        <v>284</v>
      </c>
      <c r="C7" s="60" t="n">
        <v>81741.85</v>
      </c>
      <c r="D7" s="60" t="n">
        <v>95495</v>
      </c>
      <c r="E7" s="60" t="n">
        <v>99567</v>
      </c>
      <c r="F7" s="60" t="n">
        <v>93620</v>
      </c>
      <c r="G7" s="60" t="n">
        <v>109082</v>
      </c>
      <c r="H7" s="60" t="n">
        <v>120527</v>
      </c>
      <c r="I7" s="60" t="n">
        <v>101404</v>
      </c>
      <c r="J7" s="60" t="n">
        <v>113871</v>
      </c>
      <c r="K7" s="60" t="n">
        <v>120065</v>
      </c>
      <c r="L7" s="60" t="n">
        <v>120267</v>
      </c>
      <c r="M7" s="60" t="n">
        <v>110453</v>
      </c>
      <c r="N7" s="60" t="n">
        <v>119750</v>
      </c>
      <c r="O7" s="60" t="n">
        <v>101884</v>
      </c>
      <c r="P7" s="60" t="n">
        <v>106978</v>
      </c>
      <c r="Q7" s="60" t="n">
        <v>120974.57</v>
      </c>
      <c r="R7" s="60" t="n">
        <v>100805</v>
      </c>
      <c r="S7" s="60" t="n">
        <v>119721.28</v>
      </c>
      <c r="T7" s="60" t="n">
        <v>122406.17</v>
      </c>
      <c r="U7" s="60" t="n">
        <v>102242</v>
      </c>
      <c r="V7" s="31" t="n">
        <f aca="false">SUM(C7:U7)</f>
        <v>2060853.87</v>
      </c>
    </row>
    <row r="8" customFormat="false" ht="15" hidden="false" customHeight="false" outlineLevel="0" collapsed="false">
      <c r="B8" s="6" t="s">
        <v>285</v>
      </c>
      <c r="C8" s="60" t="n">
        <v>17000</v>
      </c>
      <c r="D8" s="60" t="n">
        <v>2400</v>
      </c>
      <c r="E8" s="60" t="n">
        <v>13200</v>
      </c>
      <c r="F8" s="60" t="n">
        <v>31200</v>
      </c>
      <c r="G8" s="60" t="n">
        <v>26500</v>
      </c>
      <c r="H8" s="60" t="n">
        <v>30400</v>
      </c>
      <c r="I8" s="60" t="n">
        <v>26600</v>
      </c>
      <c r="J8" s="60" t="n">
        <v>36350</v>
      </c>
      <c r="K8" s="60" t="n">
        <v>50500</v>
      </c>
      <c r="L8" s="60" t="n">
        <v>18500</v>
      </c>
      <c r="M8" s="60" t="n">
        <v>48025</v>
      </c>
      <c r="N8" s="60" t="n">
        <v>40225</v>
      </c>
      <c r="O8" s="60" t="n">
        <v>43600</v>
      </c>
      <c r="P8" s="60" t="n">
        <v>40400</v>
      </c>
      <c r="Q8" s="60" t="n">
        <v>49125</v>
      </c>
      <c r="R8" s="60" t="n">
        <v>46350</v>
      </c>
      <c r="S8" s="60" t="n">
        <v>51125</v>
      </c>
      <c r="T8" s="60" t="n">
        <v>61000</v>
      </c>
      <c r="U8" s="60" t="n">
        <v>63700</v>
      </c>
      <c r="V8" s="31" t="n">
        <f aca="false">SUM(C8:U8)</f>
        <v>696200</v>
      </c>
    </row>
    <row r="9" customFormat="false" ht="15" hidden="false" customHeight="false" outlineLevel="0" collapsed="false">
      <c r="B9" s="6" t="s">
        <v>286</v>
      </c>
      <c r="C9" s="60" t="n">
        <v>11020</v>
      </c>
      <c r="D9" s="60" t="n">
        <v>11936</v>
      </c>
      <c r="E9" s="60" t="n">
        <v>10435</v>
      </c>
      <c r="F9" s="60" t="n">
        <v>12510</v>
      </c>
      <c r="G9" s="60" t="n">
        <v>15730</v>
      </c>
      <c r="H9" s="60" t="n">
        <v>15405</v>
      </c>
      <c r="I9" s="60" t="n">
        <v>15320</v>
      </c>
      <c r="J9" s="60" t="n">
        <v>12260</v>
      </c>
      <c r="K9" s="60" t="n">
        <v>18330</v>
      </c>
      <c r="L9" s="60" t="n">
        <v>16475</v>
      </c>
      <c r="M9" s="60" t="n">
        <v>14460</v>
      </c>
      <c r="N9" s="60" t="n">
        <v>17785</v>
      </c>
      <c r="O9" s="60" t="n">
        <v>16485</v>
      </c>
      <c r="P9" s="60" t="n">
        <v>15440</v>
      </c>
      <c r="Q9" s="60" t="n">
        <v>15879</v>
      </c>
      <c r="R9" s="60" t="n">
        <v>14924.13</v>
      </c>
      <c r="S9" s="60" t="n">
        <v>19021.92</v>
      </c>
      <c r="T9" s="60" t="n">
        <v>20212.22</v>
      </c>
      <c r="U9" s="60" t="n">
        <v>19507.36</v>
      </c>
      <c r="V9" s="31" t="n">
        <f aca="false">SUM(C9:U9)</f>
        <v>293135.63</v>
      </c>
    </row>
    <row r="10" customFormat="false" ht="15" hidden="false" customHeight="false" outlineLevel="0" collapsed="false">
      <c r="B10" s="6" t="s">
        <v>287</v>
      </c>
      <c r="C10" s="60" t="n">
        <v>6247</v>
      </c>
      <c r="D10" s="60" t="n">
        <v>5237</v>
      </c>
      <c r="E10" s="60" t="n">
        <v>3918</v>
      </c>
      <c r="F10" s="60" t="n">
        <v>3146</v>
      </c>
      <c r="G10" s="60" t="n">
        <v>9858</v>
      </c>
      <c r="H10" s="60" t="n">
        <v>12248</v>
      </c>
      <c r="I10" s="60" t="n">
        <v>7884</v>
      </c>
      <c r="J10" s="60" t="n">
        <v>12870</v>
      </c>
      <c r="K10" s="60" t="n">
        <v>11740</v>
      </c>
      <c r="L10" s="60" t="n">
        <v>12154</v>
      </c>
      <c r="M10" s="60" t="n">
        <v>14504</v>
      </c>
      <c r="N10" s="60" t="n">
        <v>12055</v>
      </c>
      <c r="O10" s="60" t="n">
        <v>12605</v>
      </c>
      <c r="P10" s="60" t="n">
        <v>11500</v>
      </c>
      <c r="Q10" s="60" t="n">
        <v>13541.72</v>
      </c>
      <c r="R10" s="60" t="n">
        <v>11785.99</v>
      </c>
      <c r="S10" s="60" t="n">
        <v>13550</v>
      </c>
      <c r="T10" s="60" t="n">
        <v>12321.22</v>
      </c>
      <c r="U10" s="60" t="n">
        <v>10159.64</v>
      </c>
      <c r="V10" s="31" t="n">
        <f aca="false">SUM(C10:U10)</f>
        <v>197324.57</v>
      </c>
    </row>
    <row r="11" customFormat="false" ht="15" hidden="false" customHeight="false" outlineLevel="0" collapsed="false">
      <c r="B11" s="6" t="s">
        <v>288</v>
      </c>
      <c r="C11" s="60" t="n">
        <v>0</v>
      </c>
      <c r="D11" s="60" t="n">
        <v>0</v>
      </c>
      <c r="E11" s="60" t="n">
        <v>0</v>
      </c>
      <c r="F11" s="60" t="n">
        <v>5905</v>
      </c>
      <c r="G11" s="60" t="n">
        <v>6950</v>
      </c>
      <c r="H11" s="60" t="n">
        <v>6010</v>
      </c>
      <c r="I11" s="60" t="n">
        <v>7860</v>
      </c>
      <c r="J11" s="60" t="n">
        <v>10720</v>
      </c>
      <c r="K11" s="60" t="n">
        <v>13740</v>
      </c>
      <c r="L11" s="60" t="n">
        <v>10350</v>
      </c>
      <c r="M11" s="60" t="n">
        <v>12565</v>
      </c>
      <c r="N11" s="60" t="n">
        <v>11405</v>
      </c>
      <c r="O11" s="60" t="n">
        <v>9780</v>
      </c>
      <c r="P11" s="60" t="n">
        <v>10875</v>
      </c>
      <c r="Q11" s="60" t="n">
        <v>12011.78</v>
      </c>
      <c r="R11" s="60" t="n">
        <v>8140</v>
      </c>
      <c r="S11" s="60" t="n">
        <v>11242</v>
      </c>
      <c r="T11" s="60" t="n">
        <v>7516.98</v>
      </c>
      <c r="U11" s="60" t="n">
        <v>6024.64</v>
      </c>
      <c r="V11" s="31" t="n">
        <f aca="false">SUM(C11:U11)</f>
        <v>151095.4</v>
      </c>
    </row>
    <row r="12" customFormat="false" ht="15" hidden="false" customHeight="false" outlineLevel="0" collapsed="false">
      <c r="B12" s="6" t="s">
        <v>289</v>
      </c>
      <c r="C12" s="60" t="n">
        <v>2585</v>
      </c>
      <c r="D12" s="60" t="n">
        <v>2875</v>
      </c>
      <c r="E12" s="60" t="n">
        <v>2750</v>
      </c>
      <c r="F12" s="60" t="n">
        <v>2845</v>
      </c>
      <c r="G12" s="60" t="n">
        <v>3160</v>
      </c>
      <c r="H12" s="60" t="n">
        <v>3350</v>
      </c>
      <c r="I12" s="60" t="n">
        <v>3675</v>
      </c>
      <c r="J12" s="60" t="n">
        <v>4775</v>
      </c>
      <c r="K12" s="60" t="n">
        <v>7865</v>
      </c>
      <c r="L12" s="60" t="n">
        <v>7495</v>
      </c>
      <c r="M12" s="60" t="n">
        <v>6535</v>
      </c>
      <c r="N12" s="60" t="n">
        <v>9520</v>
      </c>
      <c r="O12" s="60" t="n">
        <v>7945</v>
      </c>
      <c r="P12" s="60" t="n">
        <v>6595</v>
      </c>
      <c r="Q12" s="60" t="n">
        <v>8200</v>
      </c>
      <c r="R12" s="60" t="n">
        <v>6583.16</v>
      </c>
      <c r="S12" s="60" t="n">
        <v>6571.77</v>
      </c>
      <c r="T12" s="60" t="n">
        <v>5980.04</v>
      </c>
      <c r="U12" s="60" t="n">
        <v>4197.43</v>
      </c>
      <c r="V12" s="31" t="n">
        <f aca="false">SUM(C12:U12)</f>
        <v>103502.4</v>
      </c>
    </row>
    <row r="13" customFormat="false" ht="15" hidden="false" customHeight="false" outlineLevel="0" collapsed="false">
      <c r="B13" s="6" t="s">
        <v>290</v>
      </c>
      <c r="C13" s="60" t="n">
        <v>2525</v>
      </c>
      <c r="D13" s="60" t="n">
        <v>4385</v>
      </c>
      <c r="E13" s="60" t="n">
        <v>2180</v>
      </c>
      <c r="F13" s="60" t="n">
        <v>3715</v>
      </c>
      <c r="G13" s="60" t="n">
        <v>3915</v>
      </c>
      <c r="H13" s="60" t="n">
        <v>4120</v>
      </c>
      <c r="I13" s="60" t="n">
        <v>2830</v>
      </c>
      <c r="J13" s="60" t="n">
        <v>2530</v>
      </c>
      <c r="K13" s="60" t="n">
        <v>5080</v>
      </c>
      <c r="L13" s="60" t="n">
        <v>4385</v>
      </c>
      <c r="M13" s="60" t="n">
        <v>2215</v>
      </c>
      <c r="N13" s="60" t="n">
        <v>6740</v>
      </c>
      <c r="O13" s="60" t="n">
        <v>2760</v>
      </c>
      <c r="P13" s="60" t="n">
        <v>3105</v>
      </c>
      <c r="Q13" s="60" t="n">
        <v>3450</v>
      </c>
      <c r="R13" s="60" t="n">
        <v>2150.71</v>
      </c>
      <c r="S13" s="60" t="n">
        <v>2305</v>
      </c>
      <c r="T13" s="60" t="n">
        <v>3065</v>
      </c>
      <c r="U13" s="60" t="n">
        <v>1965</v>
      </c>
      <c r="V13" s="31" t="n">
        <f aca="false">SUM(C13:U13)</f>
        <v>63420.71</v>
      </c>
    </row>
    <row r="14" customFormat="false" ht="15" hidden="false" customHeight="false" outlineLevel="0" collapsed="false">
      <c r="B14" s="6" t="s">
        <v>291</v>
      </c>
      <c r="C14" s="60" t="n">
        <v>0</v>
      </c>
      <c r="D14" s="60" t="n">
        <v>0</v>
      </c>
      <c r="E14" s="60" t="n">
        <v>0</v>
      </c>
      <c r="F14" s="60" t="n">
        <v>0</v>
      </c>
      <c r="G14" s="60" t="n">
        <v>0</v>
      </c>
      <c r="H14" s="60" t="n">
        <v>0</v>
      </c>
      <c r="I14" s="60" t="n">
        <v>0</v>
      </c>
      <c r="J14" s="60" t="n">
        <v>0</v>
      </c>
      <c r="K14" s="60" t="n">
        <v>0</v>
      </c>
      <c r="L14" s="60" t="n">
        <v>0</v>
      </c>
      <c r="M14" s="60" t="n">
        <v>0</v>
      </c>
      <c r="N14" s="60" t="n">
        <v>0</v>
      </c>
      <c r="O14" s="60" t="n">
        <v>0</v>
      </c>
      <c r="P14" s="60" t="n">
        <v>0</v>
      </c>
      <c r="Q14" s="60" t="n">
        <v>700</v>
      </c>
      <c r="R14" s="60" t="n">
        <v>2100</v>
      </c>
      <c r="S14" s="60" t="n">
        <v>0</v>
      </c>
      <c r="T14" s="60" t="n">
        <v>350</v>
      </c>
      <c r="U14" s="60" t="n">
        <v>0</v>
      </c>
      <c r="V14" s="31" t="n">
        <f aca="false">SUM(C14:U14)</f>
        <v>3150</v>
      </c>
    </row>
    <row r="15" customFormat="false" ht="15" hidden="false" customHeight="false" outlineLevel="0" collapsed="false">
      <c r="B15" s="24" t="s">
        <v>292</v>
      </c>
      <c r="C15" s="32" t="n">
        <f aca="false">SUM(C7:C14)</f>
        <v>121118.85</v>
      </c>
      <c r="D15" s="32" t="n">
        <f aca="false">SUM(D7:D14)</f>
        <v>122328</v>
      </c>
      <c r="E15" s="32" t="n">
        <f aca="false">SUM(E7:E14)</f>
        <v>132050</v>
      </c>
      <c r="F15" s="32" t="n">
        <f aca="false">SUM(F7:F14)</f>
        <v>152941</v>
      </c>
      <c r="G15" s="32" t="n">
        <f aca="false">SUM(G7:G14)</f>
        <v>175195</v>
      </c>
      <c r="H15" s="32" t="n">
        <f aca="false">SUM(H7:H14)</f>
        <v>192060</v>
      </c>
      <c r="I15" s="32" t="n">
        <f aca="false">SUM(I7:I14)</f>
        <v>165573</v>
      </c>
      <c r="J15" s="32" t="n">
        <f aca="false">SUM(J7:J14)</f>
        <v>193376</v>
      </c>
      <c r="K15" s="32" t="n">
        <f aca="false">SUM(K7:K14)</f>
        <v>227320</v>
      </c>
      <c r="L15" s="32" t="n">
        <f aca="false">SUM(L7:L14)</f>
        <v>189626</v>
      </c>
      <c r="M15" s="32" t="n">
        <f aca="false">SUM(M7:M14)</f>
        <v>208757</v>
      </c>
      <c r="N15" s="32" t="n">
        <f aca="false">SUM(N7:N14)</f>
        <v>217480</v>
      </c>
      <c r="O15" s="32" t="n">
        <f aca="false">SUM(O7:O14)</f>
        <v>195059</v>
      </c>
      <c r="P15" s="32" t="n">
        <f aca="false">SUM(P7:P14)</f>
        <v>194893</v>
      </c>
      <c r="Q15" s="32" t="n">
        <f aca="false">SUM(Q7:Q14)</f>
        <v>223882.07</v>
      </c>
      <c r="R15" s="32" t="n">
        <f aca="false">SUM(R7:R14)</f>
        <v>192838.99</v>
      </c>
      <c r="S15" s="32" t="n">
        <f aca="false">SUM(S7:S14)</f>
        <v>223536.97</v>
      </c>
      <c r="T15" s="32" t="n">
        <f aca="false">SUM(T7:T14)</f>
        <v>232851.63</v>
      </c>
      <c r="U15" s="32" t="n">
        <f aca="false">SUM(U7:U14)</f>
        <v>207796.07</v>
      </c>
      <c r="V15" s="32" t="n">
        <f aca="false">SUM(C15:U15)</f>
        <v>3568682.58</v>
      </c>
    </row>
    <row r="17" customFormat="false" ht="15" hidden="false" customHeight="false" outlineLevel="0" collapsed="false">
      <c r="B17" s="16" t="s">
        <v>293</v>
      </c>
      <c r="C17" s="17"/>
      <c r="D17" s="17"/>
      <c r="E17" s="17"/>
      <c r="F17" s="17"/>
      <c r="G17" s="17"/>
      <c r="H17" s="17"/>
      <c r="I17" s="17"/>
      <c r="J17" s="17"/>
      <c r="K17" s="17"/>
      <c r="L17" s="17"/>
      <c r="M17" s="17"/>
      <c r="N17" s="17"/>
      <c r="O17" s="17"/>
      <c r="P17" s="17"/>
      <c r="Q17" s="17"/>
      <c r="R17" s="17"/>
      <c r="S17" s="17"/>
      <c r="T17" s="17"/>
      <c r="U17" s="17"/>
      <c r="V17" s="17"/>
    </row>
    <row r="18" customFormat="false" ht="15" hidden="false" customHeight="false" outlineLevel="0" collapsed="false">
      <c r="B18" s="6" t="s">
        <v>294</v>
      </c>
      <c r="C18" s="60" t="n">
        <v>0</v>
      </c>
      <c r="D18" s="60" t="n">
        <v>0</v>
      </c>
      <c r="E18" s="60" t="n">
        <v>0</v>
      </c>
      <c r="F18" s="60" t="n">
        <v>0</v>
      </c>
      <c r="G18" s="60" t="n">
        <v>0</v>
      </c>
      <c r="H18" s="60" t="n">
        <v>0</v>
      </c>
      <c r="I18" s="60" t="n">
        <v>0</v>
      </c>
      <c r="J18" s="60" t="n">
        <v>0</v>
      </c>
      <c r="K18" s="60" t="n">
        <v>0</v>
      </c>
      <c r="L18" s="60" t="n">
        <v>0</v>
      </c>
      <c r="M18" s="60" t="n">
        <v>0</v>
      </c>
      <c r="N18" s="60" t="n">
        <v>0</v>
      </c>
      <c r="O18" s="60" t="n">
        <v>0</v>
      </c>
      <c r="P18" s="60" t="n">
        <v>0</v>
      </c>
      <c r="Q18" s="60" t="n">
        <v>65741.64</v>
      </c>
      <c r="R18" s="60" t="n">
        <v>9110</v>
      </c>
      <c r="S18" s="60" t="n">
        <v>0</v>
      </c>
      <c r="T18" s="60" t="n">
        <v>0</v>
      </c>
      <c r="U18" s="60" t="n">
        <v>0</v>
      </c>
      <c r="V18" s="31" t="n">
        <f aca="false">SUM(C18:U18)</f>
        <v>74851.64</v>
      </c>
    </row>
    <row r="19" customFormat="false" ht="15" hidden="false" customHeight="false" outlineLevel="0" collapsed="false">
      <c r="B19" s="6" t="s">
        <v>295</v>
      </c>
      <c r="C19" s="60" t="n">
        <v>0</v>
      </c>
      <c r="D19" s="60" t="n">
        <v>0</v>
      </c>
      <c r="E19" s="60" t="n">
        <v>0</v>
      </c>
      <c r="F19" s="60" t="n">
        <v>0</v>
      </c>
      <c r="G19" s="60" t="n">
        <v>0</v>
      </c>
      <c r="H19" s="60" t="n">
        <v>0</v>
      </c>
      <c r="I19" s="60" t="n">
        <v>0</v>
      </c>
      <c r="J19" s="60" t="n">
        <v>0</v>
      </c>
      <c r="K19" s="60" t="n">
        <v>0</v>
      </c>
      <c r="L19" s="60" t="n">
        <v>0</v>
      </c>
      <c r="M19" s="60" t="n">
        <v>0</v>
      </c>
      <c r="N19" s="60" t="n">
        <v>0</v>
      </c>
      <c r="O19" s="60" t="n">
        <v>0</v>
      </c>
      <c r="P19" s="60" t="n">
        <v>0</v>
      </c>
      <c r="Q19" s="60" t="n">
        <v>1120</v>
      </c>
      <c r="R19" s="60" t="n">
        <v>2720</v>
      </c>
      <c r="S19" s="60" t="n">
        <v>805</v>
      </c>
      <c r="T19" s="60" t="n">
        <v>745</v>
      </c>
      <c r="U19" s="60" t="n">
        <v>500</v>
      </c>
      <c r="V19" s="31" t="n">
        <f aca="false">SUM(C19:U19)</f>
        <v>5890</v>
      </c>
    </row>
    <row r="20" customFormat="false" ht="15" hidden="false" customHeight="false" outlineLevel="0" collapsed="false">
      <c r="B20" s="6" t="s">
        <v>296</v>
      </c>
      <c r="C20" s="60" t="n">
        <v>0</v>
      </c>
      <c r="D20" s="60" t="n">
        <v>18800</v>
      </c>
      <c r="E20" s="60" t="n">
        <v>0</v>
      </c>
      <c r="F20" s="60" t="n">
        <v>0</v>
      </c>
      <c r="G20" s="60" t="n">
        <v>0</v>
      </c>
      <c r="H20" s="60" t="n">
        <v>19080</v>
      </c>
      <c r="I20" s="60" t="n">
        <v>31080</v>
      </c>
      <c r="J20" s="60" t="n">
        <v>0</v>
      </c>
      <c r="K20" s="60" t="n">
        <v>0</v>
      </c>
      <c r="L20" s="60" t="n">
        <v>0</v>
      </c>
      <c r="M20" s="60" t="n">
        <v>0</v>
      </c>
      <c r="N20" s="60" t="n">
        <v>0</v>
      </c>
      <c r="O20" s="60" t="n">
        <v>0</v>
      </c>
      <c r="P20" s="60" t="n">
        <v>0</v>
      </c>
      <c r="Q20" s="60" t="n">
        <v>0</v>
      </c>
      <c r="R20" s="60" t="n">
        <v>0</v>
      </c>
      <c r="S20" s="60" t="n">
        <v>0</v>
      </c>
      <c r="T20" s="60" t="n">
        <v>0</v>
      </c>
      <c r="U20" s="60" t="n">
        <v>0</v>
      </c>
      <c r="V20" s="31" t="n">
        <f aca="false">SUM(C20:U20)</f>
        <v>68960</v>
      </c>
    </row>
    <row r="21" customFormat="false" ht="15" hidden="false" customHeight="false" outlineLevel="0" collapsed="false">
      <c r="B21" s="6" t="s">
        <v>297</v>
      </c>
      <c r="C21" s="60" t="n">
        <v>0</v>
      </c>
      <c r="D21" s="60" t="n">
        <v>0</v>
      </c>
      <c r="E21" s="60" t="n">
        <v>0</v>
      </c>
      <c r="F21" s="60" t="n">
        <v>0</v>
      </c>
      <c r="G21" s="60" t="n">
        <v>0</v>
      </c>
      <c r="H21" s="60" t="n">
        <v>0</v>
      </c>
      <c r="I21" s="60" t="n">
        <v>0</v>
      </c>
      <c r="J21" s="60" t="n">
        <v>5220</v>
      </c>
      <c r="K21" s="60" t="n">
        <v>5220</v>
      </c>
      <c r="L21" s="60" t="n">
        <v>5220</v>
      </c>
      <c r="M21" s="60" t="n">
        <v>5220</v>
      </c>
      <c r="N21" s="60" t="n">
        <v>5220</v>
      </c>
      <c r="O21" s="60" t="n">
        <v>5220</v>
      </c>
      <c r="P21" s="60" t="n">
        <v>5220</v>
      </c>
      <c r="Q21" s="60" t="n">
        <v>5220</v>
      </c>
      <c r="R21" s="60" t="n">
        <v>0</v>
      </c>
      <c r="S21" s="60" t="n">
        <v>0</v>
      </c>
      <c r="T21" s="60" t="n">
        <v>7100</v>
      </c>
      <c r="U21" s="60" t="n">
        <v>6960</v>
      </c>
      <c r="V21" s="31" t="n">
        <f aca="false">SUM(C21:U21)</f>
        <v>55820</v>
      </c>
    </row>
    <row r="22" customFormat="false" ht="15" hidden="false" customHeight="false" outlineLevel="0" collapsed="false">
      <c r="B22" s="6" t="s">
        <v>298</v>
      </c>
      <c r="C22" s="60" t="n">
        <v>0</v>
      </c>
      <c r="D22" s="60" t="n">
        <v>2160</v>
      </c>
      <c r="E22" s="60" t="n">
        <v>2340</v>
      </c>
      <c r="F22" s="60" t="n">
        <v>2160</v>
      </c>
      <c r="G22" s="60" t="n">
        <v>2340</v>
      </c>
      <c r="H22" s="60" t="n">
        <v>2340</v>
      </c>
      <c r="I22" s="60" t="n">
        <v>2340</v>
      </c>
      <c r="J22" s="60" t="n">
        <v>2340</v>
      </c>
      <c r="K22" s="60" t="n">
        <v>2340</v>
      </c>
      <c r="L22" s="60" t="n">
        <v>2340</v>
      </c>
      <c r="M22" s="60" t="n">
        <v>2340</v>
      </c>
      <c r="N22" s="60" t="n">
        <v>2340</v>
      </c>
      <c r="O22" s="60" t="n">
        <v>2340</v>
      </c>
      <c r="P22" s="60" t="n">
        <v>2340</v>
      </c>
      <c r="Q22" s="60" t="n">
        <v>1799.1</v>
      </c>
      <c r="R22" s="60" t="n">
        <v>0</v>
      </c>
      <c r="S22" s="60" t="n">
        <v>0</v>
      </c>
      <c r="T22" s="60" t="n">
        <v>0</v>
      </c>
      <c r="U22" s="60" t="n">
        <v>0</v>
      </c>
      <c r="V22" s="31" t="n">
        <f aca="false">SUM(C22:U22)</f>
        <v>31859.1</v>
      </c>
    </row>
    <row r="23" customFormat="false" ht="15" hidden="false" customHeight="false" outlineLevel="0" collapsed="false">
      <c r="B23" s="6" t="s">
        <v>299</v>
      </c>
      <c r="C23" s="60" t="n">
        <v>11305.26</v>
      </c>
      <c r="D23" s="60" t="n">
        <v>10793.43</v>
      </c>
      <c r="E23" s="60" t="n">
        <v>9633</v>
      </c>
      <c r="F23" s="60" t="n">
        <v>19758</v>
      </c>
      <c r="G23" s="60" t="n">
        <v>19792</v>
      </c>
      <c r="H23" s="60" t="n">
        <v>19784</v>
      </c>
      <c r="I23" s="60" t="n">
        <v>17203</v>
      </c>
      <c r="J23" s="60" t="n">
        <v>21260</v>
      </c>
      <c r="K23" s="60" t="n">
        <v>25615</v>
      </c>
      <c r="L23" s="60" t="n">
        <v>21971</v>
      </c>
      <c r="M23" s="60" t="n">
        <v>22536.42</v>
      </c>
      <c r="N23" s="60" t="n">
        <v>24617</v>
      </c>
      <c r="O23" s="60" t="n">
        <v>23816</v>
      </c>
      <c r="P23" s="60" t="n">
        <v>22449</v>
      </c>
      <c r="Q23" s="60" t="n">
        <v>19619</v>
      </c>
      <c r="R23" s="60" t="n">
        <v>20739</v>
      </c>
      <c r="S23" s="60" t="n">
        <v>9921</v>
      </c>
      <c r="T23" s="60" t="n">
        <v>23177</v>
      </c>
      <c r="U23" s="60" t="n">
        <v>22888</v>
      </c>
      <c r="V23" s="31" t="n">
        <f aca="false">SUM(C23:U23)</f>
        <v>366877.11</v>
      </c>
    </row>
    <row r="24" customFormat="false" ht="15" hidden="false" customHeight="false" outlineLevel="0" collapsed="false">
      <c r="B24" s="6" t="s">
        <v>300</v>
      </c>
      <c r="C24" s="60" t="n">
        <v>17000</v>
      </c>
      <c r="D24" s="60" t="n">
        <v>17000</v>
      </c>
      <c r="E24" s="60" t="n">
        <v>17000</v>
      </c>
      <c r="F24" s="60" t="n">
        <v>27000</v>
      </c>
      <c r="G24" s="60" t="n">
        <v>28900</v>
      </c>
      <c r="H24" s="60" t="n">
        <v>27000</v>
      </c>
      <c r="I24" s="60" t="n">
        <v>29500</v>
      </c>
      <c r="J24" s="60" t="n">
        <v>18500</v>
      </c>
      <c r="K24" s="60" t="n">
        <v>23000</v>
      </c>
      <c r="L24" s="60" t="n">
        <v>39000</v>
      </c>
      <c r="M24" s="60" t="n">
        <v>36050</v>
      </c>
      <c r="N24" s="60" t="n">
        <v>24050</v>
      </c>
      <c r="O24" s="60" t="n">
        <v>24200</v>
      </c>
      <c r="P24" s="60" t="n">
        <v>30398</v>
      </c>
      <c r="Q24" s="60" t="n">
        <v>20800</v>
      </c>
      <c r="R24" s="60" t="n">
        <v>20720</v>
      </c>
      <c r="S24" s="60" t="n">
        <v>24060</v>
      </c>
      <c r="T24" s="60" t="n">
        <v>30610</v>
      </c>
      <c r="U24" s="60" t="n">
        <v>21750</v>
      </c>
      <c r="V24" s="31" t="n">
        <f aca="false">SUM(C24:U24)</f>
        <v>476538</v>
      </c>
    </row>
    <row r="25" customFormat="false" ht="15" hidden="false" customHeight="false" outlineLevel="0" collapsed="false">
      <c r="B25" s="6" t="s">
        <v>301</v>
      </c>
      <c r="C25" s="60" t="n">
        <v>6543</v>
      </c>
      <c r="D25" s="60" t="n">
        <v>6689</v>
      </c>
      <c r="E25" s="60" t="n">
        <v>10604</v>
      </c>
      <c r="F25" s="60" t="n">
        <v>28190</v>
      </c>
      <c r="G25" s="60" t="n">
        <v>21448</v>
      </c>
      <c r="H25" s="60" t="n">
        <v>17261</v>
      </c>
      <c r="I25" s="60" t="n">
        <v>19838</v>
      </c>
      <c r="J25" s="60" t="n">
        <v>14760</v>
      </c>
      <c r="K25" s="60" t="n">
        <v>12717</v>
      </c>
      <c r="L25" s="60" t="n">
        <v>7124</v>
      </c>
      <c r="M25" s="60" t="n">
        <v>6685</v>
      </c>
      <c r="N25" s="60" t="n">
        <v>23659</v>
      </c>
      <c r="O25" s="60" t="n">
        <v>21083</v>
      </c>
      <c r="P25" s="60" t="n">
        <v>15306</v>
      </c>
      <c r="Q25" s="60" t="n">
        <v>0</v>
      </c>
      <c r="R25" s="60" t="n">
        <v>0</v>
      </c>
      <c r="S25" s="60" t="n">
        <v>0</v>
      </c>
      <c r="T25" s="60" t="n">
        <v>0</v>
      </c>
      <c r="U25" s="60" t="n">
        <v>0</v>
      </c>
      <c r="V25" s="31" t="n">
        <f aca="false">SUM(C25:U25)</f>
        <v>211907</v>
      </c>
    </row>
    <row r="26" customFormat="false" ht="15" hidden="false" customHeight="false" outlineLevel="0" collapsed="false">
      <c r="B26" s="6" t="s">
        <v>302</v>
      </c>
      <c r="C26" s="60" t="n">
        <v>0</v>
      </c>
      <c r="D26" s="60" t="n">
        <v>0</v>
      </c>
      <c r="E26" s="60" t="n">
        <v>0</v>
      </c>
      <c r="F26" s="60" t="n">
        <v>0</v>
      </c>
      <c r="G26" s="60" t="n">
        <v>0</v>
      </c>
      <c r="H26" s="60" t="n">
        <v>0</v>
      </c>
      <c r="I26" s="60" t="n">
        <v>0</v>
      </c>
      <c r="J26" s="60" t="n">
        <v>0</v>
      </c>
      <c r="K26" s="60" t="n">
        <v>0</v>
      </c>
      <c r="L26" s="60" t="n">
        <v>0</v>
      </c>
      <c r="M26" s="60" t="n">
        <v>0</v>
      </c>
      <c r="N26" s="60" t="n">
        <v>0</v>
      </c>
      <c r="O26" s="60" t="n">
        <v>0</v>
      </c>
      <c r="P26" s="60" t="n">
        <v>0</v>
      </c>
      <c r="Q26" s="60" t="n">
        <v>6639.8</v>
      </c>
      <c r="R26" s="60" t="n">
        <v>8063</v>
      </c>
      <c r="S26" s="60" t="n">
        <v>8241</v>
      </c>
      <c r="T26" s="60" t="n">
        <v>1751</v>
      </c>
      <c r="U26" s="60" t="n">
        <v>3113</v>
      </c>
      <c r="V26" s="31" t="n">
        <f aca="false">SUM(C26:U26)</f>
        <v>27807.8</v>
      </c>
    </row>
    <row r="27" customFormat="false" ht="15" hidden="false" customHeight="false" outlineLevel="0" collapsed="false">
      <c r="B27" s="6" t="s">
        <v>303</v>
      </c>
      <c r="C27" s="60" t="n">
        <v>2800</v>
      </c>
      <c r="D27" s="60" t="n">
        <v>2700</v>
      </c>
      <c r="E27" s="60" t="n">
        <v>2800</v>
      </c>
      <c r="F27" s="60" t="n">
        <v>2800</v>
      </c>
      <c r="G27" s="60" t="n">
        <v>2800</v>
      </c>
      <c r="H27" s="60" t="n">
        <v>2800</v>
      </c>
      <c r="I27" s="60" t="n">
        <v>3150</v>
      </c>
      <c r="J27" s="60" t="n">
        <v>2800</v>
      </c>
      <c r="K27" s="60" t="n">
        <v>3500</v>
      </c>
      <c r="L27" s="60" t="n">
        <v>2800</v>
      </c>
      <c r="M27" s="60" t="n">
        <v>3150</v>
      </c>
      <c r="N27" s="60" t="n">
        <v>3500</v>
      </c>
      <c r="O27" s="60" t="n">
        <v>2800</v>
      </c>
      <c r="P27" s="60" t="n">
        <v>3150</v>
      </c>
      <c r="Q27" s="60" t="n">
        <v>2450</v>
      </c>
      <c r="R27" s="60" t="n">
        <v>2220</v>
      </c>
      <c r="S27" s="60" t="n">
        <v>2660</v>
      </c>
      <c r="T27" s="60" t="n">
        <v>3040</v>
      </c>
      <c r="U27" s="60" t="n">
        <v>2340</v>
      </c>
      <c r="V27" s="31" t="n">
        <f aca="false">SUM(C27:U27)</f>
        <v>54260</v>
      </c>
    </row>
    <row r="28" customFormat="false" ht="15" hidden="false" customHeight="false" outlineLevel="0" collapsed="false">
      <c r="B28" s="6" t="s">
        <v>304</v>
      </c>
      <c r="C28" s="60" t="n">
        <v>16753</v>
      </c>
      <c r="D28" s="60" t="n">
        <v>4780</v>
      </c>
      <c r="E28" s="60" t="n">
        <v>11540</v>
      </c>
      <c r="F28" s="60" t="n">
        <v>5731</v>
      </c>
      <c r="G28" s="60" t="n">
        <v>0</v>
      </c>
      <c r="H28" s="60" t="n">
        <v>539</v>
      </c>
      <c r="I28" s="60" t="n">
        <v>1400</v>
      </c>
      <c r="J28" s="60" t="n">
        <v>9000</v>
      </c>
      <c r="K28" s="60" t="n">
        <v>1250</v>
      </c>
      <c r="L28" s="60" t="n">
        <v>1960</v>
      </c>
      <c r="M28" s="60" t="n">
        <v>2395</v>
      </c>
      <c r="N28" s="60" t="n">
        <v>9140</v>
      </c>
      <c r="O28" s="60" t="n">
        <v>26762</v>
      </c>
      <c r="P28" s="60" t="n">
        <v>4251</v>
      </c>
      <c r="Q28" s="60" t="n">
        <v>14771</v>
      </c>
      <c r="R28" s="60" t="n">
        <v>862</v>
      </c>
      <c r="S28" s="60" t="n">
        <v>5000</v>
      </c>
      <c r="T28" s="60" t="n">
        <v>2160</v>
      </c>
      <c r="U28" s="60" t="n">
        <v>5221</v>
      </c>
      <c r="V28" s="31" t="n">
        <f aca="false">SUM(C28:U28)</f>
        <v>123515</v>
      </c>
    </row>
    <row r="29" customFormat="false" ht="15" hidden="false" customHeight="false" outlineLevel="0" collapsed="false">
      <c r="B29" s="6" t="s">
        <v>305</v>
      </c>
      <c r="C29" s="60" t="n">
        <v>0</v>
      </c>
      <c r="D29" s="60" t="n">
        <v>0</v>
      </c>
      <c r="E29" s="60" t="n">
        <v>0</v>
      </c>
      <c r="F29" s="60" t="n">
        <v>0</v>
      </c>
      <c r="G29" s="60" t="n">
        <v>0</v>
      </c>
      <c r="H29" s="60" t="n">
        <v>0</v>
      </c>
      <c r="I29" s="60" t="n">
        <v>0</v>
      </c>
      <c r="J29" s="60" t="n">
        <v>0</v>
      </c>
      <c r="K29" s="60" t="n">
        <v>0</v>
      </c>
      <c r="L29" s="60" t="n">
        <v>0</v>
      </c>
      <c r="M29" s="60" t="n">
        <v>0</v>
      </c>
      <c r="N29" s="60" t="n">
        <v>0</v>
      </c>
      <c r="O29" s="60" t="n">
        <v>0</v>
      </c>
      <c r="P29" s="60" t="n">
        <v>0</v>
      </c>
      <c r="Q29" s="60" t="n">
        <v>423.7</v>
      </c>
      <c r="R29" s="60" t="n">
        <v>6012</v>
      </c>
      <c r="S29" s="60" t="n">
        <v>5187</v>
      </c>
      <c r="T29" s="60" t="n">
        <v>3091</v>
      </c>
      <c r="U29" s="60" t="n">
        <v>0</v>
      </c>
      <c r="V29" s="31" t="n">
        <f aca="false">SUM(C29:U29)</f>
        <v>14713.7</v>
      </c>
    </row>
    <row r="30" customFormat="false" ht="15" hidden="false" customHeight="false" outlineLevel="0" collapsed="false">
      <c r="B30" s="6" t="s">
        <v>306</v>
      </c>
      <c r="C30" s="60" t="n">
        <v>0</v>
      </c>
      <c r="D30" s="60" t="n">
        <v>0</v>
      </c>
      <c r="E30" s="60" t="n">
        <v>0</v>
      </c>
      <c r="F30" s="60" t="n">
        <v>0</v>
      </c>
      <c r="G30" s="60" t="n">
        <v>0</v>
      </c>
      <c r="H30" s="60" t="n">
        <v>0</v>
      </c>
      <c r="I30" s="60" t="n">
        <v>0</v>
      </c>
      <c r="J30" s="60" t="n">
        <v>0</v>
      </c>
      <c r="K30" s="60" t="n">
        <v>0</v>
      </c>
      <c r="L30" s="60" t="n">
        <v>0</v>
      </c>
      <c r="M30" s="60" t="n">
        <v>0</v>
      </c>
      <c r="N30" s="60" t="n">
        <v>0</v>
      </c>
      <c r="O30" s="60" t="n">
        <v>0</v>
      </c>
      <c r="P30" s="60" t="n">
        <v>0</v>
      </c>
      <c r="Q30" s="60" t="n">
        <v>1279</v>
      </c>
      <c r="R30" s="60" t="n">
        <v>8359</v>
      </c>
      <c r="S30" s="60" t="n">
        <v>1478</v>
      </c>
      <c r="T30" s="60" t="n">
        <v>0</v>
      </c>
      <c r="U30" s="60" t="n">
        <v>0</v>
      </c>
      <c r="V30" s="31" t="n">
        <f aca="false">SUM(C30:U30)</f>
        <v>11116</v>
      </c>
    </row>
    <row r="31" customFormat="false" ht="15" hidden="false" customHeight="false" outlineLevel="0" collapsed="false">
      <c r="B31" s="6" t="s">
        <v>307</v>
      </c>
      <c r="C31" s="60" t="n">
        <v>11900</v>
      </c>
      <c r="D31" s="60" t="n">
        <v>792</v>
      </c>
      <c r="E31" s="60" t="n">
        <v>4356</v>
      </c>
      <c r="F31" s="60" t="n">
        <v>10296</v>
      </c>
      <c r="G31" s="60" t="n">
        <v>8745</v>
      </c>
      <c r="H31" s="60" t="n">
        <v>10032</v>
      </c>
      <c r="I31" s="60" t="n">
        <v>8778</v>
      </c>
      <c r="J31" s="60" t="n">
        <v>11995.5</v>
      </c>
      <c r="K31" s="60" t="n">
        <v>16665</v>
      </c>
      <c r="L31" s="60" t="n">
        <v>6105</v>
      </c>
      <c r="M31" s="60" t="n">
        <v>21762.25</v>
      </c>
      <c r="N31" s="60" t="n">
        <v>16090</v>
      </c>
      <c r="O31" s="60" t="n">
        <v>17440</v>
      </c>
      <c r="P31" s="60" t="n">
        <v>16160</v>
      </c>
      <c r="Q31" s="60" t="n">
        <v>20530</v>
      </c>
      <c r="R31" s="60" t="n">
        <v>27440</v>
      </c>
      <c r="S31" s="60" t="n">
        <v>26585</v>
      </c>
      <c r="T31" s="60" t="n">
        <v>33558</v>
      </c>
      <c r="U31" s="60" t="n">
        <v>35541</v>
      </c>
      <c r="V31" s="31" t="n">
        <f aca="false">SUM(C31:U31)</f>
        <v>304770.75</v>
      </c>
    </row>
    <row r="32" customFormat="false" ht="15" hidden="false" customHeight="false" outlineLevel="0" collapsed="false">
      <c r="B32" s="6" t="s">
        <v>308</v>
      </c>
      <c r="C32" s="60" t="n">
        <v>0</v>
      </c>
      <c r="D32" s="60" t="n">
        <v>0</v>
      </c>
      <c r="E32" s="60" t="n">
        <v>0</v>
      </c>
      <c r="F32" s="60" t="n">
        <v>0</v>
      </c>
      <c r="G32" s="60" t="n">
        <v>0</v>
      </c>
      <c r="H32" s="60" t="n">
        <v>0</v>
      </c>
      <c r="I32" s="60" t="n">
        <v>0</v>
      </c>
      <c r="J32" s="60" t="n">
        <v>0</v>
      </c>
      <c r="K32" s="60" t="n">
        <v>0</v>
      </c>
      <c r="L32" s="60" t="n">
        <v>0</v>
      </c>
      <c r="M32" s="60" t="n">
        <v>0</v>
      </c>
      <c r="N32" s="60" t="n">
        <v>0</v>
      </c>
      <c r="O32" s="60" t="n">
        <v>0</v>
      </c>
      <c r="P32" s="60" t="n">
        <v>0</v>
      </c>
      <c r="Q32" s="60" t="n">
        <v>0</v>
      </c>
      <c r="R32" s="60" t="n">
        <v>7200</v>
      </c>
      <c r="S32" s="60" t="n">
        <v>0</v>
      </c>
      <c r="T32" s="60" t="n">
        <v>0</v>
      </c>
      <c r="U32" s="60" t="n">
        <v>0</v>
      </c>
      <c r="V32" s="31" t="n">
        <f aca="false">SUM(C32:U32)</f>
        <v>7200</v>
      </c>
    </row>
    <row r="33" customFormat="false" ht="15" hidden="false" customHeight="false" outlineLevel="0" collapsed="false">
      <c r="B33" s="6" t="s">
        <v>309</v>
      </c>
      <c r="C33" s="60" t="n">
        <v>3565</v>
      </c>
      <c r="D33" s="60" t="n">
        <v>6569</v>
      </c>
      <c r="E33" s="60" t="n">
        <v>3471</v>
      </c>
      <c r="F33" s="60" t="n">
        <v>1856</v>
      </c>
      <c r="G33" s="60" t="n">
        <v>1262</v>
      </c>
      <c r="H33" s="60" t="n">
        <v>9432</v>
      </c>
      <c r="I33" s="60" t="n">
        <v>4286</v>
      </c>
      <c r="J33" s="60" t="n">
        <v>18966</v>
      </c>
      <c r="K33" s="60" t="n">
        <v>1904</v>
      </c>
      <c r="L33" s="60" t="n">
        <v>13992</v>
      </c>
      <c r="M33" s="60" t="n">
        <v>3584</v>
      </c>
      <c r="N33" s="60" t="n">
        <v>16540</v>
      </c>
      <c r="O33" s="60" t="n">
        <v>4334</v>
      </c>
      <c r="P33" s="60" t="n">
        <v>17817</v>
      </c>
      <c r="Q33" s="60" t="n">
        <v>2969</v>
      </c>
      <c r="R33" s="60" t="n">
        <v>16674</v>
      </c>
      <c r="S33" s="60" t="n">
        <v>2351</v>
      </c>
      <c r="T33" s="60" t="n">
        <v>15591</v>
      </c>
      <c r="U33" s="60" t="n">
        <v>1675</v>
      </c>
      <c r="V33" s="31" t="n">
        <f aca="false">SUM(C33:U33)</f>
        <v>146838</v>
      </c>
    </row>
    <row r="34" customFormat="false" ht="15" hidden="false" customHeight="false" outlineLevel="0" collapsed="false">
      <c r="B34" s="6" t="s">
        <v>310</v>
      </c>
      <c r="C34" s="60" t="n">
        <v>0</v>
      </c>
      <c r="D34" s="60" t="n">
        <v>0</v>
      </c>
      <c r="E34" s="60" t="n">
        <v>0</v>
      </c>
      <c r="F34" s="60" t="n">
        <v>0</v>
      </c>
      <c r="G34" s="60" t="n">
        <v>0</v>
      </c>
      <c r="H34" s="60" t="n">
        <v>0</v>
      </c>
      <c r="I34" s="60" t="n">
        <v>0</v>
      </c>
      <c r="J34" s="60" t="n">
        <v>0</v>
      </c>
      <c r="K34" s="60" t="n">
        <v>0</v>
      </c>
      <c r="L34" s="60" t="n">
        <v>0</v>
      </c>
      <c r="M34" s="60" t="n">
        <v>0</v>
      </c>
      <c r="N34" s="60" t="n">
        <v>0</v>
      </c>
      <c r="O34" s="60" t="n">
        <v>0</v>
      </c>
      <c r="P34" s="60" t="n">
        <v>0</v>
      </c>
      <c r="Q34" s="60" t="n">
        <v>0</v>
      </c>
      <c r="R34" s="60" t="n">
        <v>0</v>
      </c>
      <c r="S34" s="60" t="n">
        <v>17408</v>
      </c>
      <c r="T34" s="60" t="n">
        <v>13452</v>
      </c>
      <c r="U34" s="60" t="n">
        <v>15870</v>
      </c>
      <c r="V34" s="31" t="n">
        <f aca="false">SUM(C34:U34)</f>
        <v>46730</v>
      </c>
    </row>
    <row r="35" customFormat="false" ht="15" hidden="false" customHeight="false" outlineLevel="0" collapsed="false">
      <c r="B35" s="24" t="s">
        <v>311</v>
      </c>
      <c r="C35" s="32" t="n">
        <f aca="false">SUM(C18:C34)</f>
        <v>69866.26</v>
      </c>
      <c r="D35" s="32" t="n">
        <f aca="false">SUM(D18:D34)</f>
        <v>70283.43</v>
      </c>
      <c r="E35" s="32" t="n">
        <f aca="false">SUM(E18:E34)</f>
        <v>61744</v>
      </c>
      <c r="F35" s="32" t="n">
        <f aca="false">SUM(F18:F34)</f>
        <v>97791</v>
      </c>
      <c r="G35" s="32" t="n">
        <f aca="false">SUM(G18:G34)</f>
        <v>85287</v>
      </c>
      <c r="H35" s="32" t="n">
        <f aca="false">SUM(H18:H34)</f>
        <v>108268</v>
      </c>
      <c r="I35" s="32" t="n">
        <f aca="false">SUM(I18:I34)</f>
        <v>117575</v>
      </c>
      <c r="J35" s="32" t="n">
        <f aca="false">SUM(J18:J34)</f>
        <v>104841.5</v>
      </c>
      <c r="K35" s="32" t="n">
        <f aca="false">SUM(K18:K34)</f>
        <v>92211</v>
      </c>
      <c r="L35" s="32" t="n">
        <f aca="false">SUM(L18:L34)</f>
        <v>100512</v>
      </c>
      <c r="M35" s="32" t="n">
        <f aca="false">SUM(M18:M34)</f>
        <v>103722.67</v>
      </c>
      <c r="N35" s="32" t="n">
        <f aca="false">SUM(N18:N34)</f>
        <v>125156</v>
      </c>
      <c r="O35" s="32" t="n">
        <f aca="false">SUM(O18:O34)</f>
        <v>127995</v>
      </c>
      <c r="P35" s="32" t="n">
        <f aca="false">SUM(P18:P34)</f>
        <v>117091</v>
      </c>
      <c r="Q35" s="32" t="n">
        <f aca="false">SUM(Q18:Q34)</f>
        <v>163362.24</v>
      </c>
      <c r="R35" s="32" t="n">
        <f aca="false">SUM(R18:R34)</f>
        <v>130119</v>
      </c>
      <c r="S35" s="32" t="n">
        <f aca="false">SUM(S18:S34)</f>
        <v>103696</v>
      </c>
      <c r="T35" s="32" t="n">
        <f aca="false">SUM(T18:T34)</f>
        <v>134275</v>
      </c>
      <c r="U35" s="32" t="n">
        <f aca="false">SUM(U18:U34)</f>
        <v>115858</v>
      </c>
      <c r="V35" s="32" t="n">
        <f aca="false">SUM(C35:U35)</f>
        <v>2029654.1</v>
      </c>
    </row>
    <row r="36" customFormat="false" ht="15" hidden="false" customHeight="false" outlineLevel="0" collapsed="false">
      <c r="B36" s="35" t="s">
        <v>312</v>
      </c>
      <c r="C36" s="36" t="n">
        <f aca="false">C15-C35</f>
        <v>51252.59</v>
      </c>
      <c r="D36" s="36" t="n">
        <f aca="false">D15-D35</f>
        <v>52044.57</v>
      </c>
      <c r="E36" s="36" t="n">
        <f aca="false">E15-E35</f>
        <v>70306</v>
      </c>
      <c r="F36" s="36" t="n">
        <f aca="false">F15-F35</f>
        <v>55150</v>
      </c>
      <c r="G36" s="36" t="n">
        <f aca="false">G15-G35</f>
        <v>89908</v>
      </c>
      <c r="H36" s="36" t="n">
        <f aca="false">H15-H35</f>
        <v>83792</v>
      </c>
      <c r="I36" s="36" t="n">
        <f aca="false">I15-I35</f>
        <v>47998</v>
      </c>
      <c r="J36" s="36" t="n">
        <f aca="false">J15-J35</f>
        <v>88534.5</v>
      </c>
      <c r="K36" s="36" t="n">
        <f aca="false">K15-K35</f>
        <v>135109</v>
      </c>
      <c r="L36" s="36" t="n">
        <f aca="false">L15-L35</f>
        <v>89114</v>
      </c>
      <c r="M36" s="36" t="n">
        <f aca="false">M15-M35</f>
        <v>105034.33</v>
      </c>
      <c r="N36" s="36" t="n">
        <f aca="false">N15-N35</f>
        <v>92324</v>
      </c>
      <c r="O36" s="36" t="n">
        <f aca="false">O15-O35</f>
        <v>67064</v>
      </c>
      <c r="P36" s="36" t="n">
        <f aca="false">P15-P35</f>
        <v>77802</v>
      </c>
      <c r="Q36" s="36" t="n">
        <f aca="false">Q15-Q35</f>
        <v>60519.83</v>
      </c>
      <c r="R36" s="36" t="n">
        <f aca="false">R15-R35</f>
        <v>62719.99</v>
      </c>
      <c r="S36" s="36" t="n">
        <f aca="false">S15-S35</f>
        <v>119840.97</v>
      </c>
      <c r="T36" s="36" t="n">
        <f aca="false">T15-T35</f>
        <v>98576.63</v>
      </c>
      <c r="U36" s="36" t="n">
        <f aca="false">U15-U35</f>
        <v>91938.07</v>
      </c>
      <c r="V36" s="36" t="n">
        <f aca="false">SUM(C36:U36)</f>
        <v>1539028.48</v>
      </c>
    </row>
    <row r="38" customFormat="false" ht="15" hidden="false" customHeight="false" outlineLevel="0" collapsed="false">
      <c r="B38" s="16" t="s">
        <v>313</v>
      </c>
      <c r="C38" s="17"/>
      <c r="D38" s="17"/>
      <c r="E38" s="17"/>
      <c r="F38" s="17"/>
      <c r="G38" s="17"/>
      <c r="H38" s="17"/>
      <c r="I38" s="17"/>
      <c r="J38" s="17"/>
      <c r="K38" s="17"/>
      <c r="L38" s="17"/>
      <c r="M38" s="17"/>
      <c r="N38" s="17"/>
      <c r="O38" s="17"/>
      <c r="P38" s="17"/>
      <c r="Q38" s="17"/>
      <c r="R38" s="17"/>
      <c r="S38" s="17"/>
      <c r="T38" s="17"/>
      <c r="U38" s="17"/>
      <c r="V38" s="17"/>
    </row>
    <row r="39" customFormat="false" ht="15" hidden="false" customHeight="false" outlineLevel="0" collapsed="false">
      <c r="B39" s="6" t="s">
        <v>314</v>
      </c>
      <c r="C39" s="60" t="n">
        <v>0</v>
      </c>
      <c r="D39" s="60" t="n">
        <v>0</v>
      </c>
      <c r="E39" s="60" t="n">
        <v>0</v>
      </c>
      <c r="F39" s="60" t="n">
        <v>0</v>
      </c>
      <c r="G39" s="60" t="n">
        <v>0</v>
      </c>
      <c r="H39" s="60" t="n">
        <v>0</v>
      </c>
      <c r="I39" s="60" t="n">
        <v>0</v>
      </c>
      <c r="J39" s="60" t="n">
        <v>0</v>
      </c>
      <c r="K39" s="60" t="n">
        <v>0</v>
      </c>
      <c r="L39" s="60" t="n">
        <v>0</v>
      </c>
      <c r="M39" s="60" t="n">
        <v>0</v>
      </c>
      <c r="N39" s="60" t="n">
        <v>0</v>
      </c>
      <c r="O39" s="60" t="n">
        <v>0</v>
      </c>
      <c r="P39" s="60" t="n">
        <v>0</v>
      </c>
      <c r="Q39" s="60" t="n">
        <v>44332.45</v>
      </c>
      <c r="R39" s="60" t="n">
        <v>40000</v>
      </c>
      <c r="S39" s="60" t="n">
        <v>40000</v>
      </c>
      <c r="T39" s="60" t="n">
        <v>40000</v>
      </c>
      <c r="U39" s="60" t="n">
        <v>40000</v>
      </c>
      <c r="V39" s="31" t="n">
        <f aca="false">SUM(C39:U39)</f>
        <v>204332.45</v>
      </c>
    </row>
    <row r="40" customFormat="false" ht="15" hidden="false" customHeight="false" outlineLevel="0" collapsed="false">
      <c r="B40" s="6" t="s">
        <v>315</v>
      </c>
      <c r="C40" s="60" t="n">
        <v>17500</v>
      </c>
      <c r="D40" s="60" t="n">
        <v>18849</v>
      </c>
      <c r="E40" s="60" t="n">
        <v>17500</v>
      </c>
      <c r="F40" s="60" t="n">
        <v>17500</v>
      </c>
      <c r="G40" s="60" t="n">
        <v>17500</v>
      </c>
      <c r="H40" s="60" t="n">
        <v>24397</v>
      </c>
      <c r="I40" s="60" t="n">
        <v>28897</v>
      </c>
      <c r="J40" s="60" t="n">
        <v>18250</v>
      </c>
      <c r="K40" s="60" t="n">
        <v>18250</v>
      </c>
      <c r="L40" s="60" t="n">
        <v>47714</v>
      </c>
      <c r="M40" s="60" t="n">
        <v>60216</v>
      </c>
      <c r="N40" s="60" t="n">
        <v>18250</v>
      </c>
      <c r="O40" s="60" t="n">
        <v>30948</v>
      </c>
      <c r="P40" s="60" t="n">
        <v>18250</v>
      </c>
      <c r="Q40" s="60" t="n">
        <v>0</v>
      </c>
      <c r="R40" s="60" t="n">
        <v>0</v>
      </c>
      <c r="S40" s="60" t="n">
        <v>0</v>
      </c>
      <c r="T40" s="60" t="n">
        <v>0</v>
      </c>
      <c r="U40" s="60" t="n">
        <v>0</v>
      </c>
      <c r="V40" s="31" t="n">
        <f aca="false">SUM(C40:U40)</f>
        <v>354021</v>
      </c>
    </row>
    <row r="41" customFormat="false" ht="15" hidden="false" customHeight="false" outlineLevel="0" collapsed="false">
      <c r="B41" s="6" t="s">
        <v>316</v>
      </c>
      <c r="C41" s="60" t="n">
        <v>6167</v>
      </c>
      <c r="D41" s="60" t="n">
        <v>7952</v>
      </c>
      <c r="E41" s="60" t="n">
        <v>9909</v>
      </c>
      <c r="F41" s="60" t="n">
        <v>4752</v>
      </c>
      <c r="G41" s="60" t="n">
        <v>9157</v>
      </c>
      <c r="H41" s="60" t="n">
        <v>7328</v>
      </c>
      <c r="I41" s="60" t="n">
        <v>5175</v>
      </c>
      <c r="J41" s="60" t="n">
        <v>5441</v>
      </c>
      <c r="K41" s="60" t="n">
        <v>10467</v>
      </c>
      <c r="L41" s="60" t="n">
        <v>14829</v>
      </c>
      <c r="M41" s="60" t="n">
        <v>15665</v>
      </c>
      <c r="N41" s="60" t="n">
        <v>12833</v>
      </c>
      <c r="O41" s="60" t="n">
        <v>16404</v>
      </c>
      <c r="P41" s="60" t="n">
        <v>15165</v>
      </c>
      <c r="Q41" s="60" t="n">
        <v>0</v>
      </c>
      <c r="R41" s="60" t="n">
        <v>0</v>
      </c>
      <c r="S41" s="60" t="n">
        <v>0</v>
      </c>
      <c r="T41" s="60" t="n">
        <v>0</v>
      </c>
      <c r="U41" s="60" t="n">
        <v>0</v>
      </c>
      <c r="V41" s="31" t="n">
        <f aca="false">SUM(C41:U41)</f>
        <v>141244</v>
      </c>
    </row>
    <row r="42" customFormat="false" ht="15" hidden="false" customHeight="false" outlineLevel="0" collapsed="false">
      <c r="B42" s="6" t="s">
        <v>317</v>
      </c>
      <c r="C42" s="60" t="n">
        <v>2482</v>
      </c>
      <c r="D42" s="60" t="n">
        <v>3964</v>
      </c>
      <c r="E42" s="60" t="n">
        <v>700</v>
      </c>
      <c r="F42" s="60" t="n">
        <v>1500</v>
      </c>
      <c r="G42" s="60" t="n">
        <v>2158</v>
      </c>
      <c r="H42" s="60" t="n">
        <v>1500</v>
      </c>
      <c r="I42" s="60" t="n">
        <v>1619</v>
      </c>
      <c r="J42" s="60" t="n">
        <v>4428</v>
      </c>
      <c r="K42" s="60" t="n">
        <v>35552</v>
      </c>
      <c r="L42" s="60" t="n">
        <v>7225</v>
      </c>
      <c r="M42" s="60" t="n">
        <v>5995</v>
      </c>
      <c r="N42" s="60" t="n">
        <v>10300</v>
      </c>
      <c r="O42" s="60" t="n">
        <v>3378</v>
      </c>
      <c r="P42" s="60" t="n">
        <v>15165</v>
      </c>
      <c r="Q42" s="60" t="n">
        <v>0</v>
      </c>
      <c r="R42" s="60" t="n">
        <v>0</v>
      </c>
      <c r="S42" s="60" t="n">
        <v>0</v>
      </c>
      <c r="T42" s="60" t="n">
        <v>0</v>
      </c>
      <c r="U42" s="60" t="n">
        <v>0</v>
      </c>
      <c r="V42" s="31" t="n">
        <f aca="false">SUM(C42:U42)</f>
        <v>95966</v>
      </c>
    </row>
    <row r="43" customFormat="false" ht="15" hidden="false" customHeight="false" outlineLevel="0" collapsed="false">
      <c r="B43" s="24" t="s">
        <v>318</v>
      </c>
      <c r="C43" s="43" t="n">
        <f aca="false">SUM(C40:C42)</f>
        <v>26149</v>
      </c>
      <c r="D43" s="43" t="n">
        <f aca="false">SUM(D40:D42)</f>
        <v>30765</v>
      </c>
      <c r="E43" s="43" t="n">
        <f aca="false">SUM(E40:E42)</f>
        <v>28109</v>
      </c>
      <c r="F43" s="43" t="n">
        <f aca="false">SUM(F40:F42)</f>
        <v>23752</v>
      </c>
      <c r="G43" s="43" t="n">
        <f aca="false">SUM(G40:G42)</f>
        <v>28815</v>
      </c>
      <c r="H43" s="43" t="n">
        <f aca="false">SUM(H40:H42)</f>
        <v>33225</v>
      </c>
      <c r="I43" s="43" t="n">
        <f aca="false">SUM(I40:I42)</f>
        <v>35691</v>
      </c>
      <c r="J43" s="43" t="n">
        <f aca="false">SUM(J40:J42)</f>
        <v>28119</v>
      </c>
      <c r="K43" s="43" t="n">
        <f aca="false">SUM(K40:K42)</f>
        <v>64269</v>
      </c>
      <c r="L43" s="43" t="n">
        <f aca="false">SUM(L40:L42)</f>
        <v>69768</v>
      </c>
      <c r="M43" s="43" t="n">
        <f aca="false">SUM(M40:M42)</f>
        <v>81876</v>
      </c>
      <c r="N43" s="43" t="n">
        <f aca="false">SUM(N40:N42)</f>
        <v>41383</v>
      </c>
      <c r="O43" s="43" t="n">
        <f aca="false">SUM(O40:O42)</f>
        <v>50730</v>
      </c>
      <c r="P43" s="43" t="n">
        <f aca="false">SUM(P40:P42)</f>
        <v>48580</v>
      </c>
      <c r="Q43" s="43" t="n">
        <f aca="false">SUM(Q40:Q42)</f>
        <v>0</v>
      </c>
      <c r="R43" s="43" t="n">
        <f aca="false">SUM(R40:R42)</f>
        <v>0</v>
      </c>
      <c r="S43" s="43" t="n">
        <f aca="false">SUM(S40:S42)</f>
        <v>0</v>
      </c>
      <c r="T43" s="43" t="n">
        <f aca="false">SUM(T40:T42)</f>
        <v>0</v>
      </c>
      <c r="U43" s="43" t="n">
        <f aca="false">SUM(U40:U42)</f>
        <v>0</v>
      </c>
      <c r="V43" s="43" t="n">
        <f aca="false">SUM(C43:U43)</f>
        <v>591231</v>
      </c>
    </row>
    <row r="44" customFormat="false" ht="15" hidden="false" customHeight="false" outlineLevel="0" collapsed="false">
      <c r="B44" s="6" t="s">
        <v>319</v>
      </c>
      <c r="C44" s="60" t="n">
        <v>0</v>
      </c>
      <c r="D44" s="60" t="n">
        <v>0</v>
      </c>
      <c r="E44" s="60" t="n">
        <v>0</v>
      </c>
      <c r="F44" s="60" t="n">
        <v>0</v>
      </c>
      <c r="G44" s="60" t="n">
        <v>0</v>
      </c>
      <c r="H44" s="60" t="n">
        <v>0</v>
      </c>
      <c r="I44" s="60" t="n">
        <v>0</v>
      </c>
      <c r="J44" s="60" t="n">
        <v>0</v>
      </c>
      <c r="K44" s="60" t="n">
        <v>64000</v>
      </c>
      <c r="L44" s="60" t="n">
        <v>0</v>
      </c>
      <c r="M44" s="60" t="n">
        <v>100000</v>
      </c>
      <c r="N44" s="60" t="n">
        <v>0</v>
      </c>
      <c r="O44" s="60" t="n">
        <v>0</v>
      </c>
      <c r="P44" s="60" t="n">
        <v>38000</v>
      </c>
      <c r="Q44" s="60" t="n">
        <v>0</v>
      </c>
      <c r="R44" s="60" t="n">
        <v>0</v>
      </c>
      <c r="S44" s="60" t="n">
        <v>26000</v>
      </c>
      <c r="T44" s="60" t="n">
        <v>0</v>
      </c>
      <c r="U44" s="60" t="n">
        <v>0</v>
      </c>
      <c r="V44" s="31" t="n">
        <f aca="false">SUM(C44:U44)</f>
        <v>228000</v>
      </c>
    </row>
    <row r="45" customFormat="false" ht="15" hidden="false" customHeight="false" outlineLevel="0" collapsed="false">
      <c r="B45" s="6" t="s">
        <v>320</v>
      </c>
      <c r="C45" s="60" t="n">
        <v>0</v>
      </c>
      <c r="D45" s="60" t="n">
        <v>0</v>
      </c>
      <c r="E45" s="60" t="n">
        <v>1110</v>
      </c>
      <c r="F45" s="60" t="n">
        <v>0</v>
      </c>
      <c r="G45" s="60" t="n">
        <v>300</v>
      </c>
      <c r="H45" s="60" t="n">
        <v>0</v>
      </c>
      <c r="I45" s="60" t="n">
        <v>0</v>
      </c>
      <c r="J45" s="60" t="n">
        <v>0</v>
      </c>
      <c r="K45" s="60" t="n">
        <v>0</v>
      </c>
      <c r="L45" s="60" t="n">
        <v>50</v>
      </c>
      <c r="M45" s="60" t="n">
        <v>0</v>
      </c>
      <c r="N45" s="60" t="n">
        <v>750</v>
      </c>
      <c r="O45" s="60" t="n">
        <v>1050</v>
      </c>
      <c r="P45" s="60" t="n">
        <v>700</v>
      </c>
      <c r="Q45" s="60" t="n">
        <v>950</v>
      </c>
      <c r="R45" s="60" t="n">
        <v>400</v>
      </c>
      <c r="S45" s="60" t="n">
        <v>550</v>
      </c>
      <c r="T45" s="60" t="n">
        <v>600</v>
      </c>
      <c r="U45" s="60" t="n">
        <v>900</v>
      </c>
      <c r="V45" s="31" t="n">
        <f aca="false">SUM(C45:U45)</f>
        <v>7360</v>
      </c>
    </row>
    <row r="46" customFormat="false" ht="15" hidden="false" customHeight="false" outlineLevel="0" collapsed="false">
      <c r="B46" s="6" t="s">
        <v>321</v>
      </c>
      <c r="C46" s="60" t="n">
        <v>0</v>
      </c>
      <c r="D46" s="60" t="n">
        <v>0</v>
      </c>
      <c r="E46" s="60" t="n">
        <v>1110</v>
      </c>
      <c r="F46" s="60" t="n">
        <v>0</v>
      </c>
      <c r="G46" s="60" t="n">
        <v>300</v>
      </c>
      <c r="H46" s="60" t="n">
        <v>0</v>
      </c>
      <c r="I46" s="60" t="n">
        <v>0</v>
      </c>
      <c r="J46" s="60" t="n">
        <v>0</v>
      </c>
      <c r="K46" s="60" t="n">
        <v>0</v>
      </c>
      <c r="L46" s="60" t="n">
        <v>50</v>
      </c>
      <c r="M46" s="60" t="n">
        <v>0</v>
      </c>
      <c r="N46" s="60" t="n">
        <v>750</v>
      </c>
      <c r="O46" s="60" t="n">
        <v>1050</v>
      </c>
      <c r="P46" s="60" t="n">
        <v>700</v>
      </c>
      <c r="Q46" s="60" t="n">
        <v>950</v>
      </c>
      <c r="R46" s="60" t="n">
        <v>400</v>
      </c>
      <c r="S46" s="60" t="n">
        <v>550</v>
      </c>
      <c r="T46" s="60" t="n">
        <v>600</v>
      </c>
      <c r="U46" s="60" t="n">
        <v>900</v>
      </c>
      <c r="V46" s="31" t="n">
        <f aca="false">SUM(C46:U46)</f>
        <v>7360</v>
      </c>
    </row>
    <row r="48" customFormat="false" ht="15" hidden="false" customHeight="false" outlineLevel="0" collapsed="false">
      <c r="B48" s="16" t="s">
        <v>322</v>
      </c>
      <c r="C48" s="17"/>
      <c r="D48" s="17"/>
      <c r="E48" s="17"/>
      <c r="F48" s="17"/>
      <c r="G48" s="17"/>
      <c r="H48" s="17"/>
      <c r="I48" s="17"/>
      <c r="J48" s="17"/>
      <c r="K48" s="17"/>
      <c r="L48" s="17"/>
      <c r="M48" s="17"/>
      <c r="N48" s="17"/>
      <c r="O48" s="17"/>
      <c r="P48" s="17"/>
      <c r="Q48" s="17"/>
      <c r="R48" s="17"/>
      <c r="S48" s="17"/>
      <c r="T48" s="17"/>
      <c r="U48" s="17"/>
      <c r="V48" s="17"/>
    </row>
    <row r="49" customFormat="false" ht="15" hidden="false" customHeight="false" outlineLevel="0" collapsed="false">
      <c r="B49" s="24" t="s">
        <v>323</v>
      </c>
      <c r="C49" s="43" t="n">
        <f aca="false">C36-C39-C43-C44+C45-C46</f>
        <v>25103.59</v>
      </c>
      <c r="D49" s="43" t="n">
        <f aca="false">D36-D39-D43-D44+D45-D46</f>
        <v>21279.57</v>
      </c>
      <c r="E49" s="43" t="n">
        <f aca="false">E36-E39-E43-E44+E45-E46</f>
        <v>42197</v>
      </c>
      <c r="F49" s="43" t="n">
        <f aca="false">F36-F39-F43-F44+F45-F46</f>
        <v>31398</v>
      </c>
      <c r="G49" s="43" t="n">
        <f aca="false">G36-G39-G43-G44+G45-G46</f>
        <v>61093</v>
      </c>
      <c r="H49" s="43" t="n">
        <f aca="false">H36-H39-H43-H44+H45-H46</f>
        <v>50567</v>
      </c>
      <c r="I49" s="43" t="n">
        <f aca="false">I36-I39-I43-I44+I45-I46</f>
        <v>12307</v>
      </c>
      <c r="J49" s="43" t="n">
        <f aca="false">J36-J39-J43-J44+J45-J46</f>
        <v>60415.5</v>
      </c>
      <c r="K49" s="43" t="n">
        <f aca="false">K36-K39-K43-K44+K45-K46</f>
        <v>6840</v>
      </c>
      <c r="L49" s="43" t="n">
        <f aca="false">L36-L39-L43-L44+L45-L46</f>
        <v>19346</v>
      </c>
      <c r="M49" s="43" t="n">
        <f aca="false">M36-M39-M43-M44+M45-M46</f>
        <v>-76841.67</v>
      </c>
      <c r="N49" s="43" t="n">
        <f aca="false">N36-N39-N43-N44+N45-N46</f>
        <v>50941</v>
      </c>
      <c r="O49" s="43" t="n">
        <f aca="false">O36-O39-O43-O44+O45-O46</f>
        <v>16334</v>
      </c>
      <c r="P49" s="43" t="n">
        <f aca="false">P36-P39-P43-P44+P45-P46</f>
        <v>-8778</v>
      </c>
      <c r="Q49" s="43" t="n">
        <f aca="false">Q36-Q39-Q43-Q44+Q45-Q46</f>
        <v>16187.38</v>
      </c>
      <c r="R49" s="43" t="n">
        <f aca="false">R36-R39-R43-R44+R45-R46</f>
        <v>22719.99</v>
      </c>
      <c r="S49" s="43" t="n">
        <f aca="false">S36-S39-S43-S44+S45-S46</f>
        <v>53840.97</v>
      </c>
      <c r="T49" s="43" t="n">
        <f aca="false">T36-T39-T43-T44+T45-T46</f>
        <v>58576.63</v>
      </c>
      <c r="U49" s="43" t="n">
        <f aca="false">U36-U39-U43-U44+U45-U46</f>
        <v>51938.07</v>
      </c>
      <c r="V49" s="43" t="n">
        <f aca="false">SUM(C49:U49)</f>
        <v>515465.03</v>
      </c>
    </row>
    <row r="50" customFormat="false" ht="15" hidden="false" customHeight="false" outlineLevel="0" collapsed="false">
      <c r="B50" s="24" t="s">
        <v>324</v>
      </c>
      <c r="C50" s="43" t="n">
        <f aca="false">0+C49</f>
        <v>25103.59</v>
      </c>
      <c r="D50" s="43" t="n">
        <f aca="false">C50+D49</f>
        <v>46383.16</v>
      </c>
      <c r="E50" s="43" t="n">
        <f aca="false">D50+E49</f>
        <v>88580.16</v>
      </c>
      <c r="F50" s="43" t="n">
        <f aca="false">E50+F49</f>
        <v>119978.16</v>
      </c>
      <c r="G50" s="43" t="n">
        <f aca="false">F50+G49</f>
        <v>181071.16</v>
      </c>
      <c r="H50" s="43" t="n">
        <f aca="false">G50+H49</f>
        <v>231638.16</v>
      </c>
      <c r="I50" s="43" t="n">
        <f aca="false">H50+I49</f>
        <v>243945.16</v>
      </c>
      <c r="J50" s="43" t="n">
        <f aca="false">I50+J49</f>
        <v>304360.66</v>
      </c>
      <c r="K50" s="43" t="n">
        <f aca="false">J50+K49</f>
        <v>311200.66</v>
      </c>
      <c r="L50" s="43" t="n">
        <f aca="false">K50+L49</f>
        <v>330546.66</v>
      </c>
      <c r="M50" s="43" t="n">
        <f aca="false">L50+M49</f>
        <v>253704.99</v>
      </c>
      <c r="N50" s="43" t="n">
        <f aca="false">M50+N49</f>
        <v>304645.99</v>
      </c>
      <c r="O50" s="43" t="n">
        <f aca="false">N50+O49</f>
        <v>320979.99</v>
      </c>
      <c r="P50" s="43" t="n">
        <f aca="false">O50+P49</f>
        <v>312201.99</v>
      </c>
      <c r="Q50" s="43" t="n">
        <f aca="false">P50+Q49</f>
        <v>328389.37</v>
      </c>
      <c r="R50" s="43" t="n">
        <f aca="false">Q50+R49</f>
        <v>351109.36</v>
      </c>
      <c r="S50" s="43" t="n">
        <f aca="false">R50+S49</f>
        <v>404950.33</v>
      </c>
      <c r="T50" s="43" t="n">
        <f aca="false">S50+T49</f>
        <v>463526.96</v>
      </c>
      <c r="U50" s="43" t="n">
        <f aca="false">T50+U49</f>
        <v>515465.03</v>
      </c>
      <c r="V50" s="31"/>
    </row>
    <row r="52" customFormat="false" ht="42" hidden="false" customHeight="true" outlineLevel="0" collapsed="false">
      <c r="B52" s="41" t="s">
        <v>325</v>
      </c>
      <c r="C52" s="41"/>
      <c r="D52" s="41"/>
      <c r="E52" s="41"/>
      <c r="F52" s="41"/>
      <c r="G52" s="41"/>
      <c r="H52" s="41"/>
      <c r="I52" s="41"/>
      <c r="J52" s="41"/>
      <c r="K52" s="41"/>
      <c r="L52" s="41"/>
      <c r="M52" s="41"/>
      <c r="N52" s="41"/>
      <c r="O52" s="41"/>
      <c r="P52" s="41"/>
      <c r="Q52" s="41"/>
      <c r="R52" s="41"/>
      <c r="S52" s="41"/>
      <c r="T52" s="41"/>
      <c r="U52" s="41"/>
      <c r="V52" s="41"/>
    </row>
  </sheetData>
  <mergeCells count="1">
    <mergeCell ref="B52:V5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2026-10-28T21:15:40Z</dcterms:created>
  <dc:creator>openpyxl</dc:creator>
  <dc:description/>
  <dc:language>en-US</dc:language>
  <cp:lastModifiedBy/>
  <dcterms:modified xsi:type="dcterms:W3CDTF">2026-10-28T21:15:40Z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