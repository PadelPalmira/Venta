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Resumen Ejecutivo" sheetId="2" state="visible" r:id="rId4"/>
    <sheet name="Notas Metodológicas" sheetId="3" state="visible" r:id="rId5"/>
    <sheet name="P&amp;L Operativo Ajustado" sheetId="4" state="visible" r:id="rId6"/>
    <sheet name="Desglose de Ingresos" sheetId="5" state="visible" r:id="rId7"/>
    <sheet name="Estructura de Costos" sheetId="6" state="visible" r:id="rId8"/>
    <sheet name="Márgenes por Categoría" sheetId="7" state="visible" r:id="rId9"/>
    <sheet name="Tendencias Mensuales" sheetId="8" state="visible" r:id="rId10"/>
    <sheet name="Proyecciones" sheetId="9" state="visible" r:id="rId11"/>
    <sheet name="Conciliación de Caja" sheetId="10" state="visible" r:id="rId12"/>
    <sheet name="Datos Fuent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<sst xmlns="http://schemas.openxmlformats.org/spreadsheetml/2006/main" count="307" uniqueCount="214">
  <si>
    <t xml:space="preserve">PADEL PALMIRA CLUB DEPORTIVO</t>
  </si>
  <si>
    <t xml:space="preserve">Reporte Financiero para Inversionistas</t>
  </si>
  <si>
    <t xml:space="preserve">Análisis Operativo y Estado de Resultados Ajustado · Noviembre 2024 – Mayo 2026</t>
  </si>
  <si>
    <t xml:space="preserve">Ubicación</t>
  </si>
  <si>
    <t xml:space="preserve">Confidencialidad</t>
  </si>
  <si>
    <t xml:space="preserve">Av. Palmira No. 58, Cuernavaca, Morelos, México</t>
  </si>
  <si>
    <t xml:space="preserve">Este documento contiene información financiera confidencial preparada exclusivamente para inversionistas potenciales evaluando la adquisición de Padel Palmira Club Deportivo. Prohibida su distribución sin autorización.</t>
  </si>
  <si>
    <t xml:space="preserve">Instalaciones</t>
  </si>
  <si>
    <t xml:space="preserve">3 canchas techadas · terreno de 3,762 m² (uso de suelo permite alberca, cancha de tenis y casa club)</t>
  </si>
  <si>
    <t xml:space="preserve">Periodo analizado</t>
  </si>
  <si>
    <t xml:space="preserve">19 meses de operación (Nov 2024 – May 2026)</t>
  </si>
  <si>
    <t xml:space="preserve">Contenido del Reporte</t>
  </si>
  <si>
    <t xml:space="preserve">1.  Resumen Ejecutivo — KPIs clave y tesis de inversión</t>
  </si>
  <si>
    <t xml:space="preserve">2.  Notas Metodológicas — ajustes aplicados a los estados financieros originales</t>
  </si>
  <si>
    <t xml:space="preserve">3.  P&amp;L Operativo Ajustado — estado de resultados mensual, 19 meses</t>
  </si>
  <si>
    <t xml:space="preserve">4.  Desglose de Ingresos por Categoría</t>
  </si>
  <si>
    <t xml:space="preserve">5.  Estructura de Costos Operativos</t>
  </si>
  <si>
    <t xml:space="preserve">6.  Márgenes por Categoría</t>
  </si>
  <si>
    <t xml:space="preserve">7.  Tendencias Mensuales — estacionalidad y evolución</t>
  </si>
  <si>
    <t xml:space="preserve">8.  Proyecciones — escenario de crecimiento orgánico a 3 años</t>
  </si>
  <si>
    <t xml:space="preserve">9.  Conciliación de Caja</t>
  </si>
  <si>
    <t xml:space="preserve">10. Datos Fuente — registros originales sin ajustar</t>
  </si>
  <si>
    <t xml:space="preserve">Preparado con base en los registros contables internos del club (Loyverse, Clip, estados de resultados mensuales).</t>
  </si>
  <si>
    <t xml:space="preserve">Contacto</t>
  </si>
  <si>
    <t xml:space="preserve">padelpalmira@gmail.com  ·  Único canal de contacto para esta oportunidad</t>
  </si>
  <si>
    <t xml:space="preserve">Resumen Ejecutivo</t>
  </si>
  <si>
    <t xml:space="preserve">Cifras operativas ajustadas · Últimos 12 meses (Jun 2025 – May 2026) salvo que se indique lo contrario</t>
  </si>
  <si>
    <t xml:space="preserve">Ingresos Operativos (TTM)</t>
  </si>
  <si>
    <t xml:space="preserve">EBITDA Operativo Ajustado (TTM)</t>
  </si>
  <si>
    <t xml:space="preserve">Margen EBITDA (TTM)</t>
  </si>
  <si>
    <t xml:space="preserve">Crecimiento Ingresos (vs. primeros 7 meses)</t>
  </si>
  <si>
    <t xml:space="preserve">Ingreso Mensual Promedio (TTM)</t>
  </si>
  <si>
    <t xml:space="preserve">EBITDA Mensual Promedio (TTM)</t>
  </si>
  <si>
    <t xml:space="preserve">Precio de Venta Solicitado</t>
  </si>
  <si>
    <t xml:space="preserve">Múltiplo EBITDA (Precio / EBITDA TTM)</t>
  </si>
  <si>
    <t xml:space="preserve">Nota: el múltiplo EBITDA es alto en términos de negocio operativo porque el precio de $33M incluye el valor del terreno de 3,762 m² (Av. Palmira 58) — ver Estudio de Valuación Inmobiliaria para el desglose separado de valor de tierra vs. negocio.</t>
  </si>
  <si>
    <t xml:space="preserve">Tesis de Inversión</t>
  </si>
  <si>
    <t xml:space="preserve">•  Negocio operando 19 meses con EBITDA operativo positivo desde el primer mes registrado.</t>
  </si>
  <si>
    <t xml:space="preserve">•  Ingresos diversificados: cancha (~54%), academia (~22%) y consumo (bebidas, cafetería, botana, pelotas, grips ~24%).</t>
  </si>
  <si>
    <t xml:space="preserve">•  Modelo de academia con comisión 50% a entrenadores reduce riesgo de costo fijo docente.</t>
  </si>
  <si>
    <t xml:space="preserve">•  Terreno de 3,762 m², con alberca, cancha de tenis y casa club sin activar — upside de expansión sin comprar más tierra ni tramitar cambio de uso de suelo.</t>
  </si>
  <si>
    <t xml:space="preserve">•  Oportunidad de crecimiento clara: horarios matutinos (8am–12pm) con baja ocupación y mercado femenino desatendido.</t>
  </si>
  <si>
    <t xml:space="preserve">•  Ubicación en Av. Palmira, zona comercial de alto poder adquisitivo en Cuernavaca.</t>
  </si>
  <si>
    <t xml:space="preserve">•  Estructura de costos transparente: se excluyeron gastos personales y compensación del dueño saliente para reflejar el costo real de operación bajo nueva administración.</t>
  </si>
  <si>
    <t xml:space="preserve">•  Proyección de crecimiento orgánico a 3 años disponible en la hoja "Proyecciones" — escenario conservador, excluye Fase 2.</t>
  </si>
  <si>
    <t xml:space="preserve">Nota: cifras ajustadas — excluyen gastos personales de los socios, Fondo Apapacho (recaudación benéfica de terceros) y el sueldo del Director General saliente. Ver "Notas Metodológicas".</t>
  </si>
  <si>
    <t xml:space="preserve">Notas Metodológicas y Ajustes Aplicados</t>
  </si>
  <si>
    <t xml:space="preserve">Diferencias entre el estado de resultados original y el estado de resultados operativo ajustado presentado en este reporte</t>
  </si>
  <si>
    <t xml:space="preserve">Ajuste</t>
  </si>
  <si>
    <t xml:space="preserve">Explicación y tratamiento aplicado</t>
  </si>
  <si>
    <t xml:space="preserve">Fondo Apapacho (recaudación anticáncer)</t>
  </si>
  <si>
    <t xml:space="preserve">Se identificó que este monto se registraba simultáneamente como ingreso y como egreso por el mismo valor (venta de pelotas rosas y activaciones cuya recaudación se entrega íntegra a una fundación contra el cáncer). No es ingreso ni gasto operativo del club: se excluyó de ambos lados del estado de resultados ajustado.</t>
  </si>
  <si>
    <t xml:space="preserve">Sueldo Director General</t>
  </si>
  <si>
    <t xml:space="preserve">Corresponde a la compensación del propietario actual, quien no continuará en el proyecto tras la venta. Se excluye del EBITDA operativo ajustado por no ser un costo recurrente para el comprador. Se mantiene el "Sueldo Gerente" (gerente contratado) como costo operativo real, ya que ese rol sí permanece.</t>
  </si>
  <si>
    <t xml:space="preserve">Gastos Personales de los socios</t>
  </si>
  <si>
    <t xml:space="preserve">Retiros y gastos personales de los socios (rentas de vivienda, alimentación, transporte, viajes, compras personales) identificados dentro de la contabilidad del club. Se excluyeron del estado de resultados operativo. Incluye la partida "Renta" registrada en 2024–2025 (renta de vivienda personal, no del terreno del club — la renta del terreno es prácticamente nula por ser propiedad familiar), "Alimentación" y "Transporte TAG/Gasolina".</t>
  </si>
  <si>
    <t xml:space="preserve">Repartición de utilidades entre socios</t>
  </si>
  <si>
    <t xml:space="preserve">Retiros de efectivo documentados en una bitácora separada (depósitos para vivienda, viajes) que nunca formaron parte del estado de resultados operativo del club. Se excluyen por completo de este reporte por tratarse de movimientos patrimoniales entre los socios, no operación del negocio.</t>
  </si>
  <si>
    <t xml:space="preserve">Descuadre de caja (efectivo real vs. utilidad teórica acumulada)</t>
  </si>
  <si>
    <t xml:space="preserve">Al comparar el efectivo real en cuentas y caja contra la utilidad acumulada que se desprende de los registros (neta de retiros de socios), el efectivo real resulta MAYOR en todos los cortes disponibles, por entre $25,000 y $106,000 MXN. No hay faltante de efectivo. La explicación más probable es de calendario: los saldos se tomaron en fechas intermedias del mes, antes de liquidar nómina, comisiones de entrenadores y gastos de cierre; también es posible un saldo inicial previo a noviembre 2024. Pendiente de confirmar con el propietario y el contador. Un comprador institucional deberá establecer cortes de caja a fin de mes.</t>
  </si>
  <si>
    <t xml:space="preserve">Corrección de errores de fórmula</t>
  </si>
  <si>
    <t xml:space="preserve">La fila "Suma Utilidad" (utilidad acumulada) del archivo original contenía referencias rotas en varios meses. Se corrigió y se recalculó de forma consistente en este reporte.</t>
  </si>
  <si>
    <t xml:space="preserve">Margen EBITDA ajustado (43.4%) — por qué es superior a la industria</t>
  </si>
  <si>
    <t xml:space="preserve">El margen es superior al promedio de la industria (25-35%) porque el terreno es propiedad familiar y no se paga renta de mercado; esa condición se mantiene para el comprador, ya que el terreno se vende junto con el negocio. La nómina también es ligera (2 recepcionistas, 1 gerente; los entrenadores cobran por comisión). No incluye depreciación ni una reserva de mantenimiento de largo plazo — ver Estados_Financieros_Padel_Palmira.xlsx para utilidad de operación, ISR pro forma y flujo libre.</t>
  </si>
  <si>
    <t xml:space="preserve">Fórmula: EBITDA Operativo Ajustado = (Ingresos totales − Fondo Apapacho) − (Egresos totales − Fondo Apapacho − Sueldo Director General − Gastos Personales). Los gastos personales se excluyen una sola vez: no forman parte de las líneas de egreso de la hoja P&amp;L.</t>
  </si>
  <si>
    <t xml:space="preserve">Estado de Resultados Operativo Ajustado</t>
  </si>
  <si>
    <t xml:space="preserve">Excluye: Fondo Apapacho (pass-through), Sueldo Director General (no recurrente post-venta), y gastos personales reclasificados. Ver hoja "Notas Metodológicas".</t>
  </si>
  <si>
    <t xml:space="preserve">Concepto</t>
  </si>
  <si>
    <t xml:space="preserve">Nov-24</t>
  </si>
  <si>
    <t xml:space="preserve">Dic-24</t>
  </si>
  <si>
    <t xml:space="preserve">Ene-25</t>
  </si>
  <si>
    <t xml:space="preserve">Feb-25</t>
  </si>
  <si>
    <t xml:space="preserve">Mar-25</t>
  </si>
  <si>
    <t xml:space="preserve">Abr-25</t>
  </si>
  <si>
    <t xml:space="preserve">May-25</t>
  </si>
  <si>
    <t xml:space="preserve">Jun-25</t>
  </si>
  <si>
    <t xml:space="preserve">Jul-25</t>
  </si>
  <si>
    <t xml:space="preserve">Ago-25</t>
  </si>
  <si>
    <t xml:space="preserve">Sep-25</t>
  </si>
  <si>
    <t xml:space="preserve">Oct-25</t>
  </si>
  <si>
    <t xml:space="preserve">Nov-25</t>
  </si>
  <si>
    <t xml:space="preserve">Dic-25</t>
  </si>
  <si>
    <t xml:space="preserve">Ene-26</t>
  </si>
  <si>
    <t xml:space="preserve">Feb-26</t>
  </si>
  <si>
    <t xml:space="preserve">Mar-26</t>
  </si>
  <si>
    <t xml:space="preserve">Abr-26</t>
  </si>
  <si>
    <t xml:space="preserve">May-26</t>
  </si>
  <si>
    <t xml:space="preserve">INGRESOS OPERATIVOS</t>
  </si>
  <si>
    <t xml:space="preserve">   Cancha</t>
  </si>
  <si>
    <t xml:space="preserve">   Clases</t>
  </si>
  <si>
    <t xml:space="preserve">   Bebidas</t>
  </si>
  <si>
    <t xml:space="preserve">   Pelotas</t>
  </si>
  <si>
    <t xml:space="preserve">   Cafetería</t>
  </si>
  <si>
    <t xml:space="preserve">   Botana</t>
  </si>
  <si>
    <t xml:space="preserve">   Grips y Palas</t>
  </si>
  <si>
    <t xml:space="preserve">   Sacos</t>
  </si>
  <si>
    <t xml:space="preserve">EGRESOS OPERATIVOS</t>
  </si>
  <si>
    <t xml:space="preserve">   Abogado</t>
  </si>
  <si>
    <t xml:space="preserve">   Bono Empleados</t>
  </si>
  <si>
    <t xml:space="preserve">   Cambio Vidrios</t>
  </si>
  <si>
    <t xml:space="preserve">   Contador</t>
  </si>
  <si>
    <t xml:space="preserve">   Costo Limpieza Vidrios</t>
  </si>
  <si>
    <t xml:space="preserve">   Costos Inventario</t>
  </si>
  <si>
    <t xml:space="preserve">   Empleados</t>
  </si>
  <si>
    <t xml:space="preserve">   Gastos Generales</t>
  </si>
  <si>
    <t xml:space="preserve">   Insumos Cafeteria</t>
  </si>
  <si>
    <t xml:space="preserve">   Limpieza general</t>
  </si>
  <si>
    <t xml:space="preserve">   Mantenimiento</t>
  </si>
  <si>
    <t xml:space="preserve">   Mejoras</t>
  </si>
  <si>
    <t xml:space="preserve">   Merchandise</t>
  </si>
  <si>
    <t xml:space="preserve">   Profesor</t>
  </si>
  <si>
    <t xml:space="preserve">   Publicidad</t>
  </si>
  <si>
    <t xml:space="preserve">   Servicios</t>
  </si>
  <si>
    <t xml:space="preserve">   Sueldo Gerente</t>
  </si>
  <si>
    <t xml:space="preserve">   Memo: Renta / Alimentación / Transporte personales 2024-25 (excluidos — no forman parte de las líneas anteriores ni del total)</t>
  </si>
  <si>
    <t xml:space="preserve">   Sueldo Director General (registrado, NO contabilizado en EBITDA — sueldo del dueño saliente)</t>
  </si>
  <si>
    <t xml:space="preserve">EBITDA OPERATIVO AJUSTADO</t>
  </si>
  <si>
    <t xml:space="preserve">Margen EBITDA %</t>
  </si>
  <si>
    <t xml:space="preserve">PARTIDAS EXCLUIDAS (referencia, no afectan EBITDA operativo)</t>
  </si>
  <si>
    <t xml:space="preserve">   Fondo Apapacho (neutral, excluido de ambos lados)</t>
  </si>
  <si>
    <t xml:space="preserve">Desglose de Ingresos por Categoría</t>
  </si>
  <si>
    <t xml:space="preserve">Acumulado 19 meses (Nov 2024 – May 2026), excluye Fondo Apapacho</t>
  </si>
  <si>
    <t xml:space="preserve">Categoría</t>
  </si>
  <si>
    <t xml:space="preserve">Ingreso Acumulado</t>
  </si>
  <si>
    <t xml:space="preserve">% del Total</t>
  </si>
  <si>
    <t xml:space="preserve">Cancha</t>
  </si>
  <si>
    <t xml:space="preserve">Clases</t>
  </si>
  <si>
    <t xml:space="preserve">Bebidas</t>
  </si>
  <si>
    <t xml:space="preserve">Pelotas</t>
  </si>
  <si>
    <t xml:space="preserve">Cafetería</t>
  </si>
  <si>
    <t xml:space="preserve">Botana</t>
  </si>
  <si>
    <t xml:space="preserve">Grips y Palas</t>
  </si>
  <si>
    <t xml:space="preserve">Sacos</t>
  </si>
  <si>
    <t xml:space="preserve">TOTAL</t>
  </si>
  <si>
    <t xml:space="preserve">Estructura de Costos Operativos</t>
  </si>
  <si>
    <t xml:space="preserve">Acumulado 19 meses · excluye Fondo Apapacho, Sueldo Director General y gastos personales reclasificados</t>
  </si>
  <si>
    <t xml:space="preserve">Categoría de Gasto</t>
  </si>
  <si>
    <t xml:space="preserve">Egreso Acumulado</t>
  </si>
  <si>
    <t xml:space="preserve">Abogado</t>
  </si>
  <si>
    <t xml:space="preserve">Bono Empleados</t>
  </si>
  <si>
    <t xml:space="preserve">Cambio Vidrios</t>
  </si>
  <si>
    <t xml:space="preserve">Contador</t>
  </si>
  <si>
    <t xml:space="preserve">Costo Limpieza Vidrios</t>
  </si>
  <si>
    <t xml:space="preserve">Costos Inventario</t>
  </si>
  <si>
    <t xml:space="preserve">Empleados</t>
  </si>
  <si>
    <t xml:space="preserve">Gastos Generales</t>
  </si>
  <si>
    <t xml:space="preserve">Insumos Cafeteria</t>
  </si>
  <si>
    <t xml:space="preserve">Limpieza general</t>
  </si>
  <si>
    <t xml:space="preserve">Mantenimiento</t>
  </si>
  <si>
    <t xml:space="preserve">Mejoras</t>
  </si>
  <si>
    <t xml:space="preserve">Merchandise</t>
  </si>
  <si>
    <t xml:space="preserve">Profesor</t>
  </si>
  <si>
    <t xml:space="preserve">Publicidad</t>
  </si>
  <si>
    <t xml:space="preserve">Servicios</t>
  </si>
  <si>
    <t xml:space="preserve">Sueldo Gerente</t>
  </si>
  <si>
    <t xml:space="preserve">TOTAL EGRESOS OPERATIVOS</t>
  </si>
  <si>
    <t xml:space="preserve">Márgenes de Contribución por Categoría (Punto de Venta / Loyverse)</t>
  </si>
  <si>
    <t xml:space="preserve">Muestra de un mes representativo (mayo 2026) — ilustra la calidad de margen del mix de ingresos del club</t>
  </si>
  <si>
    <t xml:space="preserve">Unidades Vendidas</t>
  </si>
  <si>
    <t xml:space="preserve">Ventas Netas</t>
  </si>
  <si>
    <t xml:space="preserve">Costo de Bienes</t>
  </si>
  <si>
    <t xml:space="preserve">Beneficio Bruto</t>
  </si>
  <si>
    <t xml:space="preserve">Margen %</t>
  </si>
  <si>
    <t xml:space="preserve">Botanas / Comida</t>
  </si>
  <si>
    <t xml:space="preserve">Hora Cancha</t>
  </si>
  <si>
    <t xml:space="preserve">TOTAL / PROMEDIO PONDERADO</t>
  </si>
  <si>
    <t xml:space="preserve">Nota: "Hora Cancha" no tiene costo de bienes porque no requiere insumos (costo real: personal/mantenimiento, ya reflejado en gastos operativos). "Clases" se recalculó: Loyverse no registra la comisión al profesor como costo, así que el costo se estimó como el sueldo total de profesores entre el ingreso total de clases de todo el periodo (nov-24 a may-26) — resultando en ~40-55% del ingreso, consistente con lo reportado por el propietario, en vez del 0% original.</t>
  </si>
  <si>
    <t xml:space="preserve">Tendencias Mensuales — Ingresos, Egresos, EBITDA y Margen</t>
  </si>
  <si>
    <t xml:space="preserve">Ingresos Operativos</t>
  </si>
  <si>
    <t xml:space="preserve">Egresos Operativos</t>
  </si>
  <si>
    <t xml:space="preserve">EBITDA Operativo</t>
  </si>
  <si>
    <t xml:space="preserve">Proyecciones Financieras — Escenario Orgánico (Sin Fase 2)</t>
  </si>
  <si>
    <t xml:space="preserve">Crecimiento orgánico del negocio actual a 3 años. No incluye la expansión de Fase 2 (alberca, cancha de tenis, casa club, modelo de membresías) — ver documento Operación y Expansión, Sección 7.</t>
  </si>
  <si>
    <t xml:space="preserve">Supuestos Clave</t>
  </si>
  <si>
    <t xml:space="preserve">Tasa de crecimiento anual aplicada</t>
  </si>
  <si>
    <t xml:space="preserve">•  Fuente de la tasa: crecimiento de horas de cancha ocupadas documentado año contra año (Playtomic, enero–mayo 2026 vs. enero–mayo 2025). Se aplica de forma uniforme a todas las líneas de ingreso, como supuesto conservador y trazable — no se proyectan tasas distintas por categoría.</t>
  </si>
  <si>
    <t xml:space="preserve">•  Margen EBITDA: se mantiene constante en el nivel actual (43.4%, ver hoja "Resumen Ejecutivo") — no se asumen mejoras de eficiencia operativa adicionales durante el periodo proyectado.</t>
  </si>
  <si>
    <t xml:space="preserve">•  Excluye Fase 2: la expansión del club (alberca, tenis, casa club, membresías) requiere un estudio de factibilidad dedicado y no está incluida en este escenario. Ver documento "Operación y Expansión", Sección 7, para el detalle cualitativo de esa oportunidad.</t>
  </si>
  <si>
    <t xml:space="preserve">•  Esta proyección es una estimación basada en tendencia histórica documentada — no constituye una garantía de resultados futuros. Sujeta a validación por el equipo de due diligence del inversionista.</t>
  </si>
  <si>
    <t xml:space="preserve">Ingresos y EBITDA Proyectados</t>
  </si>
  <si>
    <t xml:space="preserve">Año 0 (TTM actual)</t>
  </si>
  <si>
    <t xml:space="preserve">Año 1</t>
  </si>
  <si>
    <t xml:space="preserve">Año 2</t>
  </si>
  <si>
    <t xml:space="preserve">Año 3</t>
  </si>
  <si>
    <t xml:space="preserve">EBITDA Operativo Ajustado</t>
  </si>
  <si>
    <t xml:space="preserve">Proyección de Ingresos por Categoría</t>
  </si>
  <si>
    <t xml:space="preserve">Cancha (incl. Hungers Escaleras)</t>
  </si>
  <si>
    <t xml:space="preserve">Academia (Clases)</t>
  </si>
  <si>
    <t xml:space="preserve">Grips, Palas y Sacos</t>
  </si>
  <si>
    <t xml:space="preserve">Total</t>
  </si>
  <si>
    <t xml:space="preserve">Conciliación de Caja — Efectivo Real vs. Utilidad Teórica</t>
  </si>
  <si>
    <t xml:space="preserve">Incluida para transparencia total con el comprador. En todos los cortes el efectivo real es mayor a la utilidad acumulada según registros neta de retiros (no hay faltante). La diferencia se atribuye principalmente a la fecha de los cortes de saldo (antes de pagos de fin de mes). Pendiente de confirmar con el contador.</t>
  </si>
  <si>
    <t xml:space="preserve">Cuenta</t>
  </si>
  <si>
    <t xml:space="preserve">Clip</t>
  </si>
  <si>
    <t xml:space="preserve">BBVA</t>
  </si>
  <si>
    <t xml:space="preserve">Nu</t>
  </si>
  <si>
    <t xml:space="preserve">Ualá</t>
  </si>
  <si>
    <t xml:space="preserve">Didi</t>
  </si>
  <si>
    <t xml:space="preserve">Efectivo (caja)</t>
  </si>
  <si>
    <t xml:space="preserve">Total Efectivo Real</t>
  </si>
  <si>
    <t xml:space="preserve">Utilidad Teórica Acumulada</t>
  </si>
  <si>
    <t xml:space="preserve">Retiros de Efectivo de Socios (acum.)</t>
  </si>
  <si>
    <t xml:space="preserve">Diferencia: Efectivo real − (Utilidad teórica − Retiros)  [positivo = sobra efectivo]</t>
  </si>
  <si>
    <t xml:space="preserve">Datos Fuente — Cifras Originales del Estado de Resultados del Cliente</t>
  </si>
  <si>
    <t xml:space="preserve">Valores de entrada (celdas en azul) tomados directamente del archivo original del cliente. No editar — las hojas siguientes calculan sobre esta base.</t>
  </si>
  <si>
    <t xml:space="preserve">INGRESOS (sección)</t>
  </si>
  <si>
    <t xml:space="preserve">Fondo Apapacho (ingreso)</t>
  </si>
  <si>
    <t xml:space="preserve">EGRESOS (sección)</t>
  </si>
  <si>
    <t xml:space="preserve">Fondo Apapacho (egreso)</t>
  </si>
  <si>
    <t xml:space="preserve">Sueldo director General</t>
  </si>
  <si>
    <t xml:space="preserve">GASTOS PERSONALES RECLASIFICADOS 2024-25 (sección)</t>
  </si>
  <si>
    <t xml:space="preserve">Renta (personal)</t>
  </si>
  <si>
    <t xml:space="preserve">Alimentación (personal)</t>
  </si>
  <si>
    <t xml:space="preserve">Transporte TAG Gasolina (personal)</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</si>
</sst>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
    <numFmt numFmtId="168" formatCode="0.0\x"/>
    <numFmt numFmtId="169" formatCode="#,##0"/>
    <numFmt numFmtId="170" formatCode="0.0%"/>
  </numFmts>
  <fonts count="29">
    <font>
      <sz val="11"/>
      <color theme="1"/>
      <name val="Calibri"/>
      <family val="2"/>
      <charset val="1"/>
    </font>
    <font>
      <sz val="10"/>
      <name val="Arial"/>
      <family val="0"/>
    </font>
    <font>
      <sz val="10"/>
      <name val="Arial"/>
      <family val="0"/>
    </font>
    <font>
      <sz val="10"/>
      <name val="Arial"/>
      <family val="0"/>
    </font>
    <font>
      <b val="true"/>
      <sz val="26"/>
      <color rgb="FF1F2937"/>
      <name val="Arial"/>
      <family val="0"/>
      <charset val="1"/>
    </font>
    <font>
      <sz val="16"/>
      <color rgb="FFD6336C"/>
      <name val="Arial"/>
      <family val="0"/>
      <charset val="1"/>
    </font>
    <font>
      <i val="true"/>
      <sz val="11"/>
      <color rgb="FF6B7280"/>
      <name val="Arial"/>
      <family val="0"/>
      <charset val="1"/>
    </font>
    <font>
      <b val="true"/>
      <sz val="10"/>
      <color rgb="FF1F2937"/>
      <name val="Arial"/>
      <family val="0"/>
      <charset val="1"/>
    </font>
    <font>
      <sz val="10"/>
      <color rgb="FF1F2937"/>
      <name val="Arial"/>
      <family val="0"/>
      <charset val="1"/>
    </font>
    <font>
      <b val="true"/>
      <sz val="12"/>
      <color rgb="FF1F2937"/>
      <name val="Arial"/>
      <family val="0"/>
      <charset val="1"/>
    </font>
    <font>
      <sz val="9"/>
      <color rgb="FF6B7280"/>
      <name val="Arial"/>
      <family val="0"/>
      <charset val="1"/>
    </font>
    <font>
      <b val="true"/>
      <sz val="10"/>
      <color rgb="FF5A7D96"/>
      <name val="Arial"/>
      <family val="0"/>
      <charset val="1"/>
    </font>
    <font>
      <b val="true"/>
      <sz val="20"/>
      <color rgb="FF1F2937"/>
      <name val="Arial"/>
      <family val="0"/>
      <charset val="1"/>
    </font>
    <font>
      <sz val="10"/>
      <color rgb="FF6B7280"/>
      <name val="Arial"/>
      <family val="0"/>
      <charset val="1"/>
    </font>
    <font>
      <b val="true"/>
      <sz val="22"/>
      <color rgb="FFD6336C"/>
      <name val="Arial"/>
      <family val="0"/>
      <charset val="1"/>
    </font>
    <font>
      <b val="true"/>
      <sz val="13"/>
      <color rgb="FF1F2937"/>
      <name val="Arial"/>
      <family val="0"/>
      <charset val="1"/>
    </font>
    <font>
      <b val="true"/>
      <sz val="11"/>
      <color rgb="FFFFFFFF"/>
      <name val="Arial"/>
      <family val="0"/>
      <charset val="1"/>
    </font>
    <font>
      <i val="true"/>
      <sz val="9"/>
      <color rgb="FF6B7280"/>
      <name val="Arial"/>
      <family val="0"/>
      <charset val="1"/>
    </font>
    <font>
      <i val="true"/>
      <sz val="10"/>
      <color rgb="FF6B728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6B7280"/>
      <name val="Arial"/>
      <family val="0"/>
      <charset val="1"/>
    </font>
    <font>
      <b val="true"/>
      <sz val="12"/>
      <color rgb="FFD6336C"/>
      <name val="Arial"/>
      <family val="0"/>
      <charset val="1"/>
    </font>
    <font>
      <sz val="9.5"/>
      <color rgb="FF1F2937"/>
      <name val="Arial"/>
      <family val="0"/>
      <charset val="1"/>
    </font>
    <font>
      <b val="true"/>
      <sz val="10"/>
      <color rgb="FFD6336C"/>
      <name val="Arial"/>
      <family val="0"/>
      <charset val="1"/>
    </font>
    <font>
      <b val="true"/>
      <sz val="10"/>
      <color rgb="FFB91C1C"/>
      <name val="Arial"/>
      <family val="0"/>
      <charset val="1"/>
    </font>
    <font>
      <sz val="10"/>
      <color rgb="FF2563EB"/>
      <name val="Arial"/>
      <family val="0"/>
      <charset val="1"/>
    </font>
  </fonts>
  <fills count="10">
    <fill>
      <patternFill patternType="none"/>
    </fill>
    <fill>
      <patternFill patternType="gray125"/>
    </fill>
    <fill>
      <patternFill patternType="solid">
        <fgColor rgb="FFD6336C"/>
        <bgColor rgb="FFBE4B48"/>
      </patternFill>
    </fill>
    <fill>
      <patternFill patternType="solid">
        <fgColor rgb="FF2563EB"/>
        <bgColor rgb="FF4672A8"/>
      </patternFill>
    </fill>
    <fill>
      <patternFill patternType="solid">
        <fgColor rgb="FF1F2937"/>
        <bgColor rgb="FF333300"/>
      </patternFill>
    </fill>
    <fill>
      <patternFill patternType="solid">
        <fgColor rgb="FFFCE4EC"/>
        <bgColor rgb="FFF3F4F6"/>
      </patternFill>
    </fill>
    <fill>
      <patternFill patternType="solid">
        <fgColor rgb="FFE8F0FE"/>
        <bgColor rgb="FFF3F4F6"/>
      </patternFill>
    </fill>
    <fill>
      <patternFill patternType="solid">
        <fgColor rgb="FFF3F4F6"/>
        <bgColor rgb="FFE8F0FE"/>
      </patternFill>
    </fill>
    <fill>
      <patternFill patternType="solid">
        <fgColor rgb="FF6B7280"/>
        <bgColor rgb="FF5A7D96"/>
      </patternFill>
    </fill>
    <fill>
      <patternFill patternType="solid">
        <fgColor rgb="FFFFFFFF"/>
        <bgColor rgb="FFF3F4F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0" fillId="4" borderId="0"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5" borderId="0" xfId="0" applyFont="true" applyBorder="true" applyAlignment="true" applyProtection="true">
      <alignment horizontal="left" vertical="center" textRotation="0" wrapText="false" indent="0" shrinkToFit="false"/>
      <protection locked="true" hidden="false"/>
    </xf>
    <xf numFmtId="164" fontId="13" fillId="6" borderId="0" xfId="0" applyFont="true" applyBorder="true" applyAlignment="true" applyProtection="true">
      <alignment horizontal="left" vertical="center" textRotation="0" wrapText="false" indent="0" shrinkToFit="false"/>
      <protection locked="true" hidden="false"/>
    </xf>
    <xf numFmtId="165" fontId="14" fillId="5" borderId="0" xfId="0" applyFont="true" applyBorder="true" applyAlignment="true" applyProtection="true">
      <alignment horizontal="left" vertical="center" textRotation="0" wrapText="false" indent="0" shrinkToFit="false"/>
      <protection locked="true" hidden="false"/>
    </xf>
    <xf numFmtId="165" fontId="14" fillId="6" borderId="0" xfId="0" applyFont="true" applyBorder="true" applyAlignment="true" applyProtection="true">
      <alignment horizontal="left" vertical="center" textRotation="0" wrapText="false" indent="0" shrinkToFit="false"/>
      <protection locked="true" hidden="false"/>
    </xf>
    <xf numFmtId="166" fontId="14" fillId="5" borderId="0" xfId="0" applyFont="true" applyBorder="true" applyAlignment="true" applyProtection="true">
      <alignment horizontal="left" vertical="center" textRotation="0" wrapText="false" indent="0" shrinkToFit="false"/>
      <protection locked="true" hidden="false"/>
    </xf>
    <xf numFmtId="166" fontId="14" fillId="6" borderId="0" xfId="0" applyFont="true" applyBorder="true" applyAlignment="true" applyProtection="true">
      <alignment horizontal="left" vertical="center" textRotation="0" wrapText="false" indent="0" shrinkToFit="false"/>
      <protection locked="true" hidden="false"/>
    </xf>
    <xf numFmtId="167" fontId="14" fillId="6" borderId="0" xfId="0" applyFont="true" applyBorder="true" applyAlignment="true" applyProtection="true">
      <alignment horizontal="left" vertical="center" textRotation="0" wrapText="false" indent="0" shrinkToFit="false"/>
      <protection locked="true" hidden="false"/>
    </xf>
    <xf numFmtId="168" fontId="14" fillId="5" borderId="0" xfId="0" applyFont="true" applyBorder="true" applyAlignment="true" applyProtection="true">
      <alignment horizontal="left" vertical="center"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8" fillId="7" borderId="0" xfId="0" applyFont="true" applyBorder="true" applyAlignment="true" applyProtection="true">
      <alignment horizontal="general" vertical="top" textRotation="0" wrapText="true" indent="1" shrinkToFit="false"/>
      <protection locked="true" hidden="false"/>
    </xf>
    <xf numFmtId="164" fontId="16" fillId="3" borderId="0" xfId="0" applyFont="true" applyBorder="fals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8" fillId="7" borderId="1" xfId="0" applyFont="true" applyBorder="true" applyAlignment="true" applyProtection="true">
      <alignment horizontal="general" vertical="top"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6" fillId="4" borderId="0" xfId="0" applyFont="true" applyBorder="false" applyAlignment="true" applyProtection="true">
      <alignment horizontal="center" vertical="center" textRotation="0" wrapText="false" indent="0" shrinkToFit="false"/>
      <protection locked="true" hidden="false"/>
    </xf>
    <xf numFmtId="164" fontId="7" fillId="6" borderId="1" xfId="0" applyFont="true" applyBorder="true" applyAlignment="true" applyProtection="true">
      <alignment horizontal="general" vertical="bottom" textRotation="0" wrapText="false" indent="0" shrinkToFit="false"/>
      <protection locked="true" hidden="false"/>
    </xf>
    <xf numFmtId="165" fontId="7" fillId="6"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general" vertical="bottom" textRotation="0" wrapText="false" indent="0" shrinkToFit="false"/>
      <protection locked="true" hidden="false"/>
    </xf>
    <xf numFmtId="165" fontId="18" fillId="0" borderId="1" xfId="0" applyFont="true" applyBorder="true" applyAlignment="true" applyProtection="true">
      <alignment horizontal="general" vertical="bottom" textRotation="0" wrapText="false" indent="0" shrinkToFit="false"/>
      <protection locked="true" hidden="false"/>
    </xf>
    <xf numFmtId="164" fontId="19" fillId="2" borderId="1" xfId="0" applyFont="true" applyBorder="true" applyAlignment="true" applyProtection="true">
      <alignment horizontal="general" vertical="bottom" textRotation="0" wrapText="false" indent="0" shrinkToFit="false"/>
      <protection locked="true" hidden="false"/>
    </xf>
    <xf numFmtId="165" fontId="19" fillId="2"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4" fontId="19" fillId="8" borderId="1" xfId="0" applyFont="true" applyBorder="true" applyAlignment="true" applyProtection="true">
      <alignment horizontal="general" vertical="bottom" textRotation="0" wrapText="false" indent="0" shrinkToFit="false"/>
      <protection locked="true" hidden="false"/>
    </xf>
    <xf numFmtId="165" fontId="8" fillId="8" borderId="1" xfId="0" applyFont="true" applyBorder="true" applyAlignment="true" applyProtection="true">
      <alignment horizontal="general" vertical="bottom" textRotation="0" wrapText="fals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4" fontId="8" fillId="7" borderId="1" xfId="0" applyFont="true" applyBorder="true" applyAlignment="true" applyProtection="true">
      <alignment horizontal="general" vertical="bottom" textRotation="0" wrapText="false" indent="0" shrinkToFit="false"/>
      <protection locked="true" hidden="false"/>
    </xf>
    <xf numFmtId="165" fontId="8" fillId="7" borderId="1" xfId="0" applyFont="true" applyBorder="true" applyAlignment="true" applyProtection="true">
      <alignment horizontal="general" vertical="bottom" textRotation="0" wrapText="false" indent="0" shrinkToFit="false"/>
      <protection locked="true" hidden="false"/>
    </xf>
    <xf numFmtId="166" fontId="8" fillId="7" borderId="1" xfId="0" applyFont="true" applyBorder="true" applyAlignment="true" applyProtection="true">
      <alignment horizontal="general" vertical="bottom" textRotation="0" wrapText="false" indent="0" shrinkToFit="false"/>
      <protection locked="true" hidden="false"/>
    </xf>
    <xf numFmtId="164" fontId="7" fillId="7" borderId="1" xfId="0" applyFont="true" applyBorder="true" applyAlignment="true" applyProtection="true">
      <alignment horizontal="general" vertical="bottom" textRotation="0" wrapText="false" indent="0" shrinkToFit="false"/>
      <protection locked="true" hidden="false"/>
    </xf>
    <xf numFmtId="165" fontId="7" fillId="7" borderId="1" xfId="0"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9" fontId="8" fillId="7" borderId="1" xfId="0" applyFont="true" applyBorder="true" applyAlignment="true" applyProtection="true">
      <alignment horizontal="general" vertical="bottom" textRotation="0" wrapText="false" indent="0" shrinkToFit="false"/>
      <protection locked="true" hidden="false"/>
    </xf>
    <xf numFmtId="169" fontId="7" fillId="7" borderId="1" xfId="0" applyFont="true" applyBorder="true" applyAlignment="true" applyProtection="true">
      <alignment horizontal="general" vertical="bottom" textRotation="0" wrapText="false" indent="0" shrinkToFit="false"/>
      <protection locked="true" hidden="false"/>
    </xf>
    <xf numFmtId="166" fontId="7" fillId="7" borderId="1"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true" indent="0" shrinkToFit="false"/>
      <protection locked="true" hidden="false"/>
    </xf>
    <xf numFmtId="164" fontId="16" fillId="3" borderId="0" xfId="0" applyFont="true" applyBorder="true" applyAlignment="true" applyProtection="true">
      <alignment horizontal="general" vertical="center" textRotation="0" wrapText="false" indent="1" shrinkToFit="false"/>
      <protection locked="true" hidden="false"/>
    </xf>
    <xf numFmtId="164" fontId="7" fillId="6" borderId="0" xfId="0" applyFont="true" applyBorder="true" applyAlignment="true" applyProtection="true">
      <alignment horizontal="general" vertical="center" textRotation="0" wrapText="false" indent="1" shrinkToFit="false"/>
      <protection locked="true" hidden="false"/>
    </xf>
    <xf numFmtId="170" fontId="24" fillId="6" borderId="0" xfId="0" applyFont="true" applyBorder="true" applyAlignment="true" applyProtection="true">
      <alignment horizontal="center" vertical="center" textRotation="0" wrapText="false" indent="0" shrinkToFit="false"/>
      <protection locked="true" hidden="false"/>
    </xf>
    <xf numFmtId="164" fontId="25" fillId="9" borderId="0" xfId="0" applyFont="true" applyBorder="true" applyAlignment="true" applyProtection="true">
      <alignment horizontal="general" vertical="top" textRotation="0" wrapText="true" indent="1" shrinkToFit="false"/>
      <protection locked="true" hidden="false"/>
    </xf>
    <xf numFmtId="164" fontId="25" fillId="7" borderId="0" xfId="0" applyFont="true" applyBorder="true" applyAlignment="true" applyProtection="true">
      <alignment horizontal="general" vertical="top" textRotation="0" wrapText="true" indent="1" shrinkToFit="false"/>
      <protection locked="true" hidden="false"/>
    </xf>
    <xf numFmtId="164" fontId="16" fillId="4" borderId="1" xfId="0" applyFont="true" applyBorder="true" applyAlignment="true" applyProtection="true">
      <alignment horizontal="left" vertical="center" textRotation="0" wrapText="false" indent="1" shrinkToFit="false"/>
      <protection locked="true" hidden="false"/>
    </xf>
    <xf numFmtId="164" fontId="16" fillId="4" borderId="1" xfId="0" applyFont="true" applyBorder="true" applyAlignment="true" applyProtection="true">
      <alignment horizontal="center" vertical="center" textRotation="0" wrapText="false" indent="0" shrinkToFit="false"/>
      <protection locked="true" hidden="false"/>
    </xf>
    <xf numFmtId="164" fontId="7" fillId="6" borderId="1" xfId="0" applyFont="true" applyBorder="true" applyAlignment="true" applyProtection="true">
      <alignment horizontal="general" vertical="center" textRotation="0" wrapText="false" indent="1" shrinkToFit="false"/>
      <protection locked="true" hidden="false"/>
    </xf>
    <xf numFmtId="165" fontId="7" fillId="6" borderId="1" xfId="0" applyFont="true" applyBorder="true" applyAlignment="true" applyProtection="true">
      <alignment horizontal="right" vertical="center" textRotation="0" wrapText="false" indent="0" shrinkToFit="false"/>
      <protection locked="true" hidden="false"/>
    </xf>
    <xf numFmtId="164" fontId="7" fillId="5" borderId="1" xfId="0" applyFont="true" applyBorder="true" applyAlignment="true" applyProtection="true">
      <alignment horizontal="general" vertical="center" textRotation="0" wrapText="false" indent="1" shrinkToFit="false"/>
      <protection locked="true" hidden="false"/>
    </xf>
    <xf numFmtId="165" fontId="26" fillId="5" borderId="1" xfId="0" applyFont="true" applyBorder="true" applyAlignment="true" applyProtection="true">
      <alignment horizontal="right" vertical="center" textRotation="0" wrapText="false" indent="0" shrinkToFit="false"/>
      <protection locked="true" hidden="false"/>
    </xf>
    <xf numFmtId="166" fontId="8" fillId="6" borderId="1" xfId="0" applyFont="true" applyBorder="true" applyAlignment="true" applyProtection="true">
      <alignment horizontal="right" vertical="center" textRotation="0" wrapText="false" indent="0" shrinkToFit="false"/>
      <protection locked="true" hidden="false"/>
    </xf>
    <xf numFmtId="164" fontId="8" fillId="9" borderId="1" xfId="0" applyFont="true" applyBorder="true" applyAlignment="true" applyProtection="true">
      <alignment horizontal="general" vertical="center" textRotation="0" wrapText="false" indent="1" shrinkToFit="false"/>
      <protection locked="true" hidden="false"/>
    </xf>
    <xf numFmtId="165" fontId="8" fillId="9" borderId="1" xfId="0" applyFont="true" applyBorder="true" applyAlignment="true" applyProtection="true">
      <alignment horizontal="right" vertical="center" textRotation="0" wrapText="false" indent="0" shrinkToFit="false"/>
      <protection locked="true" hidden="false"/>
    </xf>
    <xf numFmtId="164" fontId="8" fillId="7" borderId="1" xfId="0" applyFont="true" applyBorder="true" applyAlignment="true" applyProtection="true">
      <alignment horizontal="general" vertical="center" textRotation="0" wrapText="false" indent="1" shrinkToFit="false"/>
      <protection locked="true" hidden="false"/>
    </xf>
    <xf numFmtId="165" fontId="8" fillId="7" borderId="1"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5" fontId="27" fillId="0" borderId="1" xfId="0" applyFont="true" applyBorder="true" applyAlignment="true" applyProtection="true">
      <alignment horizontal="general" vertical="bottom" textRotation="0" wrapText="false" indent="0" shrinkToFit="false"/>
      <protection locked="true" hidden="false"/>
    </xf>
    <xf numFmtId="164" fontId="19" fillId="4" borderId="1" xfId="0" applyFont="true" applyBorder="true" applyAlignment="true" applyProtection="true">
      <alignment horizontal="general" vertical="bottom" textRotation="0" wrapText="false" indent="0" shrinkToFit="false"/>
      <protection locked="true" hidden="false"/>
    </xf>
    <xf numFmtId="165" fontId="19" fillId="4" borderId="1" xfId="0" applyFont="true" applyBorder="true" applyAlignment="true" applyProtection="true">
      <alignment horizontal="general" vertical="bottom" textRotation="0" wrapText="false" indent="0" shrinkToFit="false"/>
      <protection locked="true" hidden="false"/>
    </xf>
    <xf numFmtId="165" fontId="28"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6336C"/>
      <rgbColor rgb="FF00FF00"/>
      <rgbColor rgb="FF0000FF"/>
      <rgbColor rgb="FFFFFF00"/>
      <rgbColor rgb="FFFF00FF"/>
      <rgbColor rgb="FF00FFFF"/>
      <rgbColor rgb="FF800000"/>
      <rgbColor rgb="FF008000"/>
      <rgbColor rgb="FF000080"/>
      <rgbColor rgb="FF6B7280"/>
      <rgbColor rgb="FF800080"/>
      <rgbColor rgb="FF4A7EBB"/>
      <rgbColor rgb="FFD9D9D9"/>
      <rgbColor rgb="FF878787"/>
      <rgbColor rgb="FF93A9CE"/>
      <rgbColor rgb="FFAB4744"/>
      <rgbColor rgb="FFF3F4F6"/>
      <rgbColor rgb="FFE8F0FE"/>
      <rgbColor rgb="FF660066"/>
      <rgbColor rgb="FFDC853E"/>
      <rgbColor rgb="FF4672A8"/>
      <rgbColor rgb="FFD1D5DB"/>
      <rgbColor rgb="FF000080"/>
      <rgbColor rgb="FFFF00FF"/>
      <rgbColor rgb="FFFFFF00"/>
      <rgbColor rgb="FF00FFFF"/>
      <rgbColor rgb="FF800080"/>
      <rgbColor rgb="FF800000"/>
      <rgbColor rgb="FF4F81BD"/>
      <rgbColor rgb="FF0000FF"/>
      <rgbColor rgb="FF00CCFF"/>
      <rgbColor rgb="FFCCFFFF"/>
      <rgbColor rgb="FFCCFFCC"/>
      <rgbColor rgb="FFFFFF99"/>
      <rgbColor rgb="FF99CCFF"/>
      <rgbColor rgb="FFD09493"/>
      <rgbColor rgb="FFCC99FF"/>
      <rgbColor rgb="FFFCE4EC"/>
      <rgbColor rgb="FF2563EB"/>
      <rgbColor rgb="FF33CCCC"/>
      <rgbColor rgb="FF98B855"/>
      <rgbColor rgb="FFFFCC00"/>
      <rgbColor rgb="FFFF9900"/>
      <rgbColor rgb="FFFF6600"/>
      <rgbColor rgb="FF725990"/>
      <rgbColor rgb="FF8AA64F"/>
      <rgbColor rgb="FF003366"/>
      <rgbColor rgb="FF4299B0"/>
      <rgbColor rgb="FF003300"/>
      <rgbColor rgb="FF333300"/>
      <rgbColor rgb="FFB91C1C"/>
      <rgbColor rgb="FFBE4B48"/>
      <rgbColor rgb="FF5A7D96"/>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Mezcla de Ingresos por Categoría</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numFmt formatCode="\$#,##0;&quot;($&quot;#,##0\);\-" sourceLinked="1"/>
            <c:dLbl>
              <c:idx val="0"/>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6"/>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7"/>
              <c:numFmt formatCode="\$#,##0;&quot;($&quot;#,##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'Desglose de Ingresos'!$B$6:$B$13</c:f>
              <c:strCache>
                <c:ptCount val="8"/>
                <c:pt idx="0">
                  <c:v>Cancha</c:v>
                </c:pt>
                <c:pt idx="1">
                  <c:v>Clases</c:v>
                </c:pt>
                <c:pt idx="2">
                  <c:v>Bebidas</c:v>
                </c:pt>
                <c:pt idx="3">
                  <c:v>Pelotas</c:v>
                </c:pt>
                <c:pt idx="4">
                  <c:v>Cafetería</c:v>
                </c:pt>
                <c:pt idx="5">
                  <c:v>Botana</c:v>
                </c:pt>
                <c:pt idx="6">
                  <c:v>Grips y Palas</c:v>
                </c:pt>
                <c:pt idx="7">
                  <c:v>Sacos</c:v>
                </c:pt>
              </c:strCache>
            </c:strRef>
          </c:cat>
          <c:val>
            <c:numRef>
              <c:f>'Desglose de Ingresos'!$C$6:$C$13</c:f>
              <c:numCache>
                <c:formatCode>\$#,##0;"($"#,##0\);\-</c:formatCode>
                <c:ptCount val="8"/>
                <c:pt idx="0">
                  <c:v>2060853.87</c:v>
                </c:pt>
                <c:pt idx="1">
                  <c:v>696200</c:v>
                </c:pt>
                <c:pt idx="2">
                  <c:v>293135.63</c:v>
                </c:pt>
                <c:pt idx="3">
                  <c:v>197324.57</c:v>
                </c:pt>
                <c:pt idx="4">
                  <c:v>151095.4</c:v>
                </c:pt>
                <c:pt idx="5">
                  <c:v>103502.4</c:v>
                </c:pt>
                <c:pt idx="6">
                  <c:v>63420.71</c:v>
                </c:pt>
                <c:pt idx="7">
                  <c:v>3150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Egresos Operativos Acumulados por Categoría</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'Estructura de Costos'!$B$6:$B$22</c:f>
              <c:strCache>
                <c:ptCount val="17"/>
                <c:pt idx="0">
                  <c:v>Abogado</c:v>
                </c:pt>
                <c:pt idx="1">
                  <c:v>Bono Empleados</c:v>
                </c:pt>
                <c:pt idx="2">
                  <c:v>Cambio Vidrios</c:v>
                </c:pt>
                <c:pt idx="3">
                  <c:v>Contador</c:v>
                </c:pt>
                <c:pt idx="4">
                  <c:v>Costo Limpieza Vidrios</c:v>
                </c:pt>
                <c:pt idx="5">
                  <c:v>Costos Inventario</c:v>
                </c:pt>
                <c:pt idx="6">
                  <c:v>Empleados</c:v>
                </c:pt>
                <c:pt idx="7">
                  <c:v>Gastos Generales</c:v>
                </c:pt>
                <c:pt idx="8">
                  <c:v>Insumos Cafeteria</c:v>
                </c:pt>
                <c:pt idx="9">
                  <c:v>Limpieza general</c:v>
                </c:pt>
                <c:pt idx="10">
                  <c:v>Mantenimiento</c:v>
                </c:pt>
                <c:pt idx="11">
                  <c:v>Mejoras</c:v>
                </c:pt>
                <c:pt idx="12">
                  <c:v>Merchandise</c:v>
                </c:pt>
                <c:pt idx="13">
                  <c:v>Profesor</c:v>
                </c:pt>
                <c:pt idx="14">
                  <c:v>Publicidad</c:v>
                </c:pt>
                <c:pt idx="15">
                  <c:v>Servicios</c:v>
                </c:pt>
                <c:pt idx="16">
                  <c:v>Sueldo Gerente</c:v>
                </c:pt>
              </c:strCache>
            </c:strRef>
          </c:cat>
          <c:val>
            <c:numRef>
              <c:f>'Estructura de Costos'!$C$6:$C$22</c:f>
              <c:numCache>
                <c:formatCode>\$#,##0;"($"#,##0\);\-</c:formatCode>
                <c:ptCount val="17"/>
                <c:pt idx="0">
                  <c:v>74851.64</c:v>
                </c:pt>
                <c:pt idx="1">
                  <c:v>5890</c:v>
                </c:pt>
                <c:pt idx="2">
                  <c:v>68960</c:v>
                </c:pt>
                <c:pt idx="3">
                  <c:v>55820</c:v>
                </c:pt>
                <c:pt idx="4">
                  <c:v>31859.1</c:v>
                </c:pt>
                <c:pt idx="5">
                  <c:v>366877.11</c:v>
                </c:pt>
                <c:pt idx="6">
                  <c:v>476538</c:v>
                </c:pt>
                <c:pt idx="7">
                  <c:v>211907</c:v>
                </c:pt>
                <c:pt idx="8">
                  <c:v>27807.8</c:v>
                </c:pt>
                <c:pt idx="9">
                  <c:v>54260</c:v>
                </c:pt>
                <c:pt idx="10">
                  <c:v>123515</c:v>
                </c:pt>
                <c:pt idx="11">
                  <c:v>14713.7</c:v>
                </c:pt>
                <c:pt idx="12">
                  <c:v>11116</c:v>
                </c:pt>
                <c:pt idx="13">
                  <c:v>304770.75</c:v>
                </c:pt>
                <c:pt idx="14">
                  <c:v>7200</c:v>
                </c:pt>
                <c:pt idx="15">
                  <c:v>146838</c:v>
                </c:pt>
                <c:pt idx="16">
                  <c:v>46730</c:v>
                </c:pt>
              </c:numCache>
            </c:numRef>
          </c:val>
        </c:ser>
        <c:gapWidth val="150"/>
        <c:overlap val="0"/>
        <c:axId val="87604993"/>
        <c:axId val="23710146"/>
      </c:barChart>
      <c:catAx>
        <c:axId val="8760499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10146"/>
        <c:crosses val="autoZero"/>
        <c:auto val="1"/>
        <c:lblAlgn val="ctr"/>
        <c:lblOffset val="100"/>
        <c:noMultiLvlLbl val="0"/>
      </c:catAx>
      <c:valAx>
        <c:axId val="23710146"/>
        <c:scaling>
          <c:orientation val="minMax"/>
        </c:scaling>
        <c:delete val="0"/>
        <c:axPos val="l"/>
        <c:majorGridlines>
          <c:spPr>
            <a:ln w="9360">
              <a:solidFill>
                <a:srgbClr val="878787"/>
              </a:solidFill>
              <a:round/>
            </a:ln>
          </c:spPr>
        </c:majorGridlines>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6049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Margen % por Categoría</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'Márgenes por Categoría'!$B$6:$B$11</c:f>
              <c:strCache>
                <c:ptCount val="6"/>
                <c:pt idx="0">
                  <c:v>Bebidas</c:v>
                </c:pt>
                <c:pt idx="1">
                  <c:v>Botanas / Comida</c:v>
                </c:pt>
                <c:pt idx="2">
                  <c:v>Clases</c:v>
                </c:pt>
                <c:pt idx="3">
                  <c:v>Grips y Palas</c:v>
                </c:pt>
                <c:pt idx="4">
                  <c:v>Hora Cancha</c:v>
                </c:pt>
                <c:pt idx="5">
                  <c:v>Pelotas</c:v>
                </c:pt>
              </c:strCache>
            </c:strRef>
          </c:cat>
          <c:val>
            <c:numRef>
              <c:f>'Márgenes por Categoría'!$G$6:$G$11</c:f>
              <c:numCache>
                <c:formatCode>0.0%;\(0.0%\);\-</c:formatCode>
                <c:ptCount val="6"/>
                <c:pt idx="0">
                  <c:v>0.512110761218434</c:v>
                </c:pt>
                <c:pt idx="1">
                  <c:v>0.513797119599249</c:v>
                </c:pt>
                <c:pt idx="2">
                  <c:v>0.562236785406492</c:v>
                </c:pt>
                <c:pt idx="3">
                  <c:v>0.938048087431694</c:v>
                </c:pt>
                <c:pt idx="4">
                  <c:v>1</c:v>
                </c:pt>
                <c:pt idx="5">
                  <c:v>0.342771068692378</c:v>
                </c:pt>
              </c:numCache>
            </c:numRef>
          </c:val>
        </c:ser>
        <c:gapWidth val="150"/>
        <c:overlap val="0"/>
        <c:axId val="90052928"/>
        <c:axId val="53824584"/>
      </c:barChart>
      <c:catAx>
        <c:axId val="9005292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24584"/>
        <c:crosses val="autoZero"/>
        <c:auto val="1"/>
        <c:lblAlgn val="ctr"/>
        <c:lblOffset val="100"/>
        <c:noMultiLvlLbl val="0"/>
      </c:catAx>
      <c:valAx>
        <c:axId val="538245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0529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Ingresos vs. Egresos vs. EBITDA Operativo (mensual)</a:t>
            </a:r>
          </a:p>
        </c:rich>
      </c:tx>
      <c:overlay val="0"/>
      <c:spPr>
        <a:noFill/>
        <a:ln w="0">
          <a:noFill/>
        </a:ln>
      </c:spPr>
    </c:title>
    <c:autoTitleDeleted val="0"/>
    <c:plotArea>
      <c:lineChart>
        <c:grouping val="standard"/>
        <c:varyColors val="0"/>
        <c:ser>
          <c:idx val="0"/>
          <c:order val="0"/>
          <c:tx>
            <c:strRef>
              <c:f>'Tendencias Mensuales'!B6</c:f>
              <c:strCache>
                <c:ptCount val="1"/>
                <c:pt idx="0">
                  <c:v>Ingresos Operativos</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'Tendencias Mensuales'!$C$5:$U$5</c:f>
              <c:strCache>
                <c:ptCount val="19"/>
                <c:pt idx="0">
                  <c:v>Nov-24</c:v>
                </c:pt>
                <c:pt idx="1">
                  <c:v>Dic-24</c:v>
                </c:pt>
                <c:pt idx="2">
                  <c:v>Ene-25</c:v>
                </c:pt>
                <c:pt idx="3">
                  <c:v>Feb-25</c:v>
                </c:pt>
                <c:pt idx="4">
                  <c:v>Mar-25</c:v>
                </c:pt>
                <c:pt idx="5">
                  <c:v>Abr-25</c:v>
                </c:pt>
                <c:pt idx="6">
                  <c:v>May-25</c:v>
                </c:pt>
                <c:pt idx="7">
                  <c:v>Jun-25</c:v>
                </c:pt>
                <c:pt idx="8">
                  <c:v>Jul-25</c:v>
                </c:pt>
                <c:pt idx="9">
                  <c:v>Ago-25</c:v>
                </c:pt>
                <c:pt idx="10">
                  <c:v>Sep-25</c:v>
                </c:pt>
                <c:pt idx="11">
                  <c:v>Oct-25</c:v>
                </c:pt>
                <c:pt idx="12">
                  <c:v>Nov-25</c:v>
                </c:pt>
                <c:pt idx="13">
                  <c:v>Dic-25</c:v>
                </c:pt>
                <c:pt idx="14">
                  <c:v>Ene-26</c:v>
                </c:pt>
                <c:pt idx="15">
                  <c:v>Feb-26</c:v>
                </c:pt>
                <c:pt idx="16">
                  <c:v>Mar-26</c:v>
                </c:pt>
                <c:pt idx="17">
                  <c:v>Abr-26</c:v>
                </c:pt>
                <c:pt idx="18">
                  <c:v>May-26</c:v>
                </c:pt>
              </c:strCache>
            </c:strRef>
          </c:cat>
          <c:val>
            <c:numRef>
              <c:f>'Tendencias Mensuales'!$C$6:$U$6</c:f>
              <c:numCache>
                <c:formatCode>\$#,##0;"($"#,##0\);\-</c:formatCode>
                <c:ptCount val="19"/>
                <c:pt idx="0">
                  <c:v>121118.85</c:v>
                </c:pt>
                <c:pt idx="1">
                  <c:v>122328</c:v>
                </c:pt>
                <c:pt idx="2">
                  <c:v>132050</c:v>
                </c:pt>
                <c:pt idx="3">
                  <c:v>152941</c:v>
                </c:pt>
                <c:pt idx="4">
                  <c:v>175195</c:v>
                </c:pt>
                <c:pt idx="5">
                  <c:v>192060</c:v>
                </c:pt>
                <c:pt idx="6">
                  <c:v>165573</c:v>
                </c:pt>
                <c:pt idx="7">
                  <c:v>193376</c:v>
                </c:pt>
                <c:pt idx="8">
                  <c:v>227320</c:v>
                </c:pt>
                <c:pt idx="9">
                  <c:v>189626</c:v>
                </c:pt>
                <c:pt idx="10">
                  <c:v>208757</c:v>
                </c:pt>
                <c:pt idx="11">
                  <c:v>217480</c:v>
                </c:pt>
                <c:pt idx="12">
                  <c:v>195059</c:v>
                </c:pt>
                <c:pt idx="13">
                  <c:v>194893</c:v>
                </c:pt>
                <c:pt idx="14">
                  <c:v>223882.07</c:v>
                </c:pt>
                <c:pt idx="15">
                  <c:v>192838.99</c:v>
                </c:pt>
                <c:pt idx="16">
                  <c:v>223536.97</c:v>
                </c:pt>
                <c:pt idx="17">
                  <c:v>232851.63</c:v>
                </c:pt>
                <c:pt idx="18">
                  <c:v>207796.07</c:v>
                </c:pt>
              </c:numCache>
            </c:numRef>
          </c:val>
          <c:smooth val="1"/>
        </c:ser>
        <c:ser>
          <c:idx val="1"/>
          <c:order val="1"/>
          <c:tx>
            <c:strRef>
              <c:f>'Tendencias Mensuales'!B7</c:f>
              <c:strCache>
                <c:ptCount val="1"/>
                <c:pt idx="0">
                  <c:v>Egresos Operativos</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'Tendencias Mensuales'!$C$5:$U$5</c:f>
              <c:strCache>
                <c:ptCount val="19"/>
                <c:pt idx="0">
                  <c:v>Nov-24</c:v>
                </c:pt>
                <c:pt idx="1">
                  <c:v>Dic-24</c:v>
                </c:pt>
                <c:pt idx="2">
                  <c:v>Ene-25</c:v>
                </c:pt>
                <c:pt idx="3">
                  <c:v>Feb-25</c:v>
                </c:pt>
                <c:pt idx="4">
                  <c:v>Mar-25</c:v>
                </c:pt>
                <c:pt idx="5">
                  <c:v>Abr-25</c:v>
                </c:pt>
                <c:pt idx="6">
                  <c:v>May-25</c:v>
                </c:pt>
                <c:pt idx="7">
                  <c:v>Jun-25</c:v>
                </c:pt>
                <c:pt idx="8">
                  <c:v>Jul-25</c:v>
                </c:pt>
                <c:pt idx="9">
                  <c:v>Ago-25</c:v>
                </c:pt>
                <c:pt idx="10">
                  <c:v>Sep-25</c:v>
                </c:pt>
                <c:pt idx="11">
                  <c:v>Oct-25</c:v>
                </c:pt>
                <c:pt idx="12">
                  <c:v>Nov-25</c:v>
                </c:pt>
                <c:pt idx="13">
                  <c:v>Dic-25</c:v>
                </c:pt>
                <c:pt idx="14">
                  <c:v>Ene-26</c:v>
                </c:pt>
                <c:pt idx="15">
                  <c:v>Feb-26</c:v>
                </c:pt>
                <c:pt idx="16">
                  <c:v>Mar-26</c:v>
                </c:pt>
                <c:pt idx="17">
                  <c:v>Abr-26</c:v>
                </c:pt>
                <c:pt idx="18">
                  <c:v>May-26</c:v>
                </c:pt>
              </c:strCache>
            </c:strRef>
          </c:cat>
          <c:val>
            <c:numRef>
              <c:f>'Tendencias Mensuales'!$C$7:$U$7</c:f>
              <c:numCache>
                <c:formatCode>\$#,##0;"($"#,##0\);\-</c:formatCode>
                <c:ptCount val="19"/>
                <c:pt idx="0">
                  <c:v>69866.26</c:v>
                </c:pt>
                <c:pt idx="1">
                  <c:v>70283.43</c:v>
                </c:pt>
                <c:pt idx="2">
                  <c:v>61744</c:v>
                </c:pt>
                <c:pt idx="3">
                  <c:v>97791</c:v>
                </c:pt>
                <c:pt idx="4">
                  <c:v>85287</c:v>
                </c:pt>
                <c:pt idx="5">
                  <c:v>108268</c:v>
                </c:pt>
                <c:pt idx="6">
                  <c:v>117575</c:v>
                </c:pt>
                <c:pt idx="7">
                  <c:v>104841.5</c:v>
                </c:pt>
                <c:pt idx="8">
                  <c:v>92211</c:v>
                </c:pt>
                <c:pt idx="9">
                  <c:v>100512</c:v>
                </c:pt>
                <c:pt idx="10">
                  <c:v>103722.67</c:v>
                </c:pt>
                <c:pt idx="11">
                  <c:v>125156</c:v>
                </c:pt>
                <c:pt idx="12">
                  <c:v>127995</c:v>
                </c:pt>
                <c:pt idx="13">
                  <c:v>117091</c:v>
                </c:pt>
                <c:pt idx="14">
                  <c:v>163362.24</c:v>
                </c:pt>
                <c:pt idx="15">
                  <c:v>130119</c:v>
                </c:pt>
                <c:pt idx="16">
                  <c:v>103696</c:v>
                </c:pt>
                <c:pt idx="17">
                  <c:v>134275</c:v>
                </c:pt>
                <c:pt idx="18">
                  <c:v>115858</c:v>
                </c:pt>
              </c:numCache>
            </c:numRef>
          </c:val>
          <c:smooth val="1"/>
        </c:ser>
        <c:ser>
          <c:idx val="2"/>
          <c:order val="2"/>
          <c:tx>
            <c:strRef>
              <c:f>'Tendencias Mensuales'!B8</c:f>
              <c:strCache>
                <c:ptCount val="1"/>
                <c:pt idx="0">
                  <c:v>EBITDA Operativo</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'Tendencias Mensuales'!$C$5:$U$5</c:f>
              <c:strCache>
                <c:ptCount val="19"/>
                <c:pt idx="0">
                  <c:v>Nov-24</c:v>
                </c:pt>
                <c:pt idx="1">
                  <c:v>Dic-24</c:v>
                </c:pt>
                <c:pt idx="2">
                  <c:v>Ene-25</c:v>
                </c:pt>
                <c:pt idx="3">
                  <c:v>Feb-25</c:v>
                </c:pt>
                <c:pt idx="4">
                  <c:v>Mar-25</c:v>
                </c:pt>
                <c:pt idx="5">
                  <c:v>Abr-25</c:v>
                </c:pt>
                <c:pt idx="6">
                  <c:v>May-25</c:v>
                </c:pt>
                <c:pt idx="7">
                  <c:v>Jun-25</c:v>
                </c:pt>
                <c:pt idx="8">
                  <c:v>Jul-25</c:v>
                </c:pt>
                <c:pt idx="9">
                  <c:v>Ago-25</c:v>
                </c:pt>
                <c:pt idx="10">
                  <c:v>Sep-25</c:v>
                </c:pt>
                <c:pt idx="11">
                  <c:v>Oct-25</c:v>
                </c:pt>
                <c:pt idx="12">
                  <c:v>Nov-25</c:v>
                </c:pt>
                <c:pt idx="13">
                  <c:v>Dic-25</c:v>
                </c:pt>
                <c:pt idx="14">
                  <c:v>Ene-26</c:v>
                </c:pt>
                <c:pt idx="15">
                  <c:v>Feb-26</c:v>
                </c:pt>
                <c:pt idx="16">
                  <c:v>Mar-26</c:v>
                </c:pt>
                <c:pt idx="17">
                  <c:v>Abr-26</c:v>
                </c:pt>
                <c:pt idx="18">
                  <c:v>May-26</c:v>
                </c:pt>
              </c:strCache>
            </c:strRef>
          </c:cat>
          <c:val>
            <c:numRef>
              <c:f>'Tendencias Mensuales'!$C$8:$U$8</c:f>
              <c:numCache>
                <c:formatCode>\$#,##0;"($"#,##0\);\-</c:formatCode>
                <c:ptCount val="19"/>
                <c:pt idx="0">
                  <c:v>51252.59</c:v>
                </c:pt>
                <c:pt idx="1">
                  <c:v>52044.57</c:v>
                </c:pt>
                <c:pt idx="2">
                  <c:v>70306</c:v>
                </c:pt>
                <c:pt idx="3">
                  <c:v>55150</c:v>
                </c:pt>
                <c:pt idx="4">
                  <c:v>89908</c:v>
                </c:pt>
                <c:pt idx="5">
                  <c:v>83792</c:v>
                </c:pt>
                <c:pt idx="6">
                  <c:v>47998</c:v>
                </c:pt>
                <c:pt idx="7">
                  <c:v>88534.5</c:v>
                </c:pt>
                <c:pt idx="8">
                  <c:v>135109</c:v>
                </c:pt>
                <c:pt idx="9">
                  <c:v>89114</c:v>
                </c:pt>
                <c:pt idx="10">
                  <c:v>105034.33</c:v>
                </c:pt>
                <c:pt idx="11">
                  <c:v>92324</c:v>
                </c:pt>
                <c:pt idx="12">
                  <c:v>67064</c:v>
                </c:pt>
                <c:pt idx="13">
                  <c:v>77802</c:v>
                </c:pt>
                <c:pt idx="14">
                  <c:v>60519.83</c:v>
                </c:pt>
                <c:pt idx="15">
                  <c:v>62719.99</c:v>
                </c:pt>
                <c:pt idx="16">
                  <c:v>119840.97</c:v>
                </c:pt>
                <c:pt idx="17">
                  <c:v>98576.63</c:v>
                </c:pt>
                <c:pt idx="18">
                  <c:v>91938.07</c:v>
                </c:pt>
              </c:numCache>
            </c:numRef>
          </c:val>
          <c:smooth val="1"/>
        </c:ser>
        <c:hiLowLines>
          <c:spPr>
            <a:ln w="0">
              <a:noFill/>
            </a:ln>
          </c:spPr>
        </c:hiLowLines>
        <c:marker val="0"/>
        <c:axId val="75492792"/>
        <c:axId val="9882632"/>
      </c:lineChart>
      <c:catAx>
        <c:axId val="7549279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2632"/>
        <c:crosses val="autoZero"/>
        <c:auto val="1"/>
        <c:lblAlgn val="ctr"/>
        <c:lblOffset val="100"/>
        <c:noMultiLvlLbl val="0"/>
      </c:catAx>
      <c:valAx>
        <c:axId val="98826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MXN</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4927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Margen EBITDA % (mensual)</a:t>
            </a:r>
          </a:p>
        </c:rich>
      </c:tx>
      <c:overlay val="0"/>
      <c:spPr>
        <a:noFill/>
        <a:ln w="0">
          <a:noFill/>
        </a:ln>
      </c:spPr>
    </c:title>
    <c:autoTitleDeleted val="0"/>
    <c:plotArea>
      <c:lineChart>
        <c:grouping val="standard"/>
        <c:varyColors val="0"/>
        <c:ser>
          <c:idx val="0"/>
          <c:order val="0"/>
          <c:tx>
            <c:strRef>
              <c:f>'Tendencias Mensuales'!B9</c:f>
              <c:strCache>
                <c:ptCount val="1"/>
                <c:pt idx="0">
                  <c:v>Margen EBITDA %</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'Tendencias Mensuales'!$C$5:$U$5</c:f>
              <c:strCache>
                <c:ptCount val="19"/>
                <c:pt idx="0">
                  <c:v>Nov-24</c:v>
                </c:pt>
                <c:pt idx="1">
                  <c:v>Dic-24</c:v>
                </c:pt>
                <c:pt idx="2">
                  <c:v>Ene-25</c:v>
                </c:pt>
                <c:pt idx="3">
                  <c:v>Feb-25</c:v>
                </c:pt>
                <c:pt idx="4">
                  <c:v>Mar-25</c:v>
                </c:pt>
                <c:pt idx="5">
                  <c:v>Abr-25</c:v>
                </c:pt>
                <c:pt idx="6">
                  <c:v>May-25</c:v>
                </c:pt>
                <c:pt idx="7">
                  <c:v>Jun-25</c:v>
                </c:pt>
                <c:pt idx="8">
                  <c:v>Jul-25</c:v>
                </c:pt>
                <c:pt idx="9">
                  <c:v>Ago-25</c:v>
                </c:pt>
                <c:pt idx="10">
                  <c:v>Sep-25</c:v>
                </c:pt>
                <c:pt idx="11">
                  <c:v>Oct-25</c:v>
                </c:pt>
                <c:pt idx="12">
                  <c:v>Nov-25</c:v>
                </c:pt>
                <c:pt idx="13">
                  <c:v>Dic-25</c:v>
                </c:pt>
                <c:pt idx="14">
                  <c:v>Ene-26</c:v>
                </c:pt>
                <c:pt idx="15">
                  <c:v>Feb-26</c:v>
                </c:pt>
                <c:pt idx="16">
                  <c:v>Mar-26</c:v>
                </c:pt>
                <c:pt idx="17">
                  <c:v>Abr-26</c:v>
                </c:pt>
                <c:pt idx="18">
                  <c:v>May-26</c:v>
                </c:pt>
              </c:strCache>
            </c:strRef>
          </c:cat>
          <c:val>
            <c:numRef>
              <c:f>'Tendencias Mensuales'!$C$9:$U$9</c:f>
              <c:numCache>
                <c:formatCode>0.0%;\(0.0%\);\-</c:formatCode>
                <c:ptCount val="19"/>
                <c:pt idx="0">
                  <c:v>0.423159483433008</c:v>
                </c:pt>
                <c:pt idx="1">
                  <c:v>0.425451000588582</c:v>
                </c:pt>
                <c:pt idx="2">
                  <c:v>0.532419538053768</c:v>
                </c:pt>
                <c:pt idx="3">
                  <c:v>0.360596569919119</c:v>
                </c:pt>
                <c:pt idx="4">
                  <c:v>0.513188161762607</c:v>
                </c:pt>
                <c:pt idx="5">
                  <c:v>0.436280329063834</c:v>
                </c:pt>
                <c:pt idx="6">
                  <c:v>0.289890259885368</c:v>
                </c:pt>
                <c:pt idx="7">
                  <c:v>0.457836029290088</c:v>
                </c:pt>
                <c:pt idx="8">
                  <c:v>0.594355973957417</c:v>
                </c:pt>
                <c:pt idx="9">
                  <c:v>0.469946104437155</c:v>
                </c:pt>
                <c:pt idx="10">
                  <c:v>0.503141595251896</c:v>
                </c:pt>
                <c:pt idx="11">
                  <c:v>0.424517196983631</c:v>
                </c:pt>
                <c:pt idx="12">
                  <c:v>0.343813922966897</c:v>
                </c:pt>
                <c:pt idx="13">
                  <c:v>0.399203665601125</c:v>
                </c:pt>
                <c:pt idx="14">
                  <c:v>0.270320128807099</c:v>
                </c:pt>
                <c:pt idx="15">
                  <c:v>0.325245376985225</c:v>
                </c:pt>
                <c:pt idx="16">
                  <c:v>0.536112527605613</c:v>
                </c:pt>
                <c:pt idx="17">
                  <c:v>0.423345243492605</c:v>
                </c:pt>
                <c:pt idx="18">
                  <c:v>0.442443738228543</c:v>
                </c:pt>
              </c:numCache>
            </c:numRef>
          </c:val>
          <c:smooth val="1"/>
        </c:ser>
        <c:hiLowLines>
          <c:spPr>
            <a:ln w="0">
              <a:noFill/>
            </a:ln>
          </c:spPr>
        </c:hiLowLines>
        <c:marker val="0"/>
        <c:axId val="13725245"/>
        <c:axId val="17617999"/>
      </c:lineChart>
      <c:catAx>
        <c:axId val="1372524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617999"/>
        <c:crosses val="autoZero"/>
        <c:auto val="1"/>
        <c:lblAlgn val="ctr"/>
        <c:lblOffset val="100"/>
        <c:noMultiLvlLbl val="0"/>
      </c:catAx>
      <c:valAx>
        <c:axId val="176179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7252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70560</xdr:rowOff>
    </xdr:from>
    <xdr:to>
      <xdr:col>13</xdr:col>
      <xdr:colOff>505800</xdr:colOff>
      <xdr:row>20</xdr:row>
      <xdr:rowOff>69840</xdr:rowOff>
    </xdr:to>
    <xdr:graphicFrame>
      <xdr:nvGraphicFramePr>
        <xdr:cNvPr id="0" name="Chart 1"/>
        <xdr:cNvGraphicFramePr/>
      </xdr:nvGraphicFramePr>
      <xdr:xfrm>
        <a:off x="4088160" y="756360"/>
        <a:ext cx="5397840" cy="323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70560</xdr:rowOff>
    </xdr:from>
    <xdr:to>
      <xdr:col>15</xdr:col>
      <xdr:colOff>362880</xdr:colOff>
      <xdr:row>26</xdr:row>
      <xdr:rowOff>6840</xdr:rowOff>
    </xdr:to>
    <xdr:graphicFrame>
      <xdr:nvGraphicFramePr>
        <xdr:cNvPr id="1" name="Chart 1"/>
        <xdr:cNvGraphicFramePr/>
      </xdr:nvGraphicFramePr>
      <xdr:xfrm>
        <a:off x="4370040" y="756360"/>
        <a:ext cx="6477840" cy="43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70560</xdr:rowOff>
    </xdr:from>
    <xdr:to>
      <xdr:col>17</xdr:col>
      <xdr:colOff>254160</xdr:colOff>
      <xdr:row>19</xdr:row>
      <xdr:rowOff>69840</xdr:rowOff>
    </xdr:to>
    <xdr:graphicFrame>
      <xdr:nvGraphicFramePr>
        <xdr:cNvPr id="2" name="Chart 1"/>
        <xdr:cNvGraphicFramePr/>
      </xdr:nvGraphicFramePr>
      <xdr:xfrm>
        <a:off x="6625440" y="756360"/>
        <a:ext cx="5757840" cy="323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xdr:row>
      <xdr:rowOff>70560</xdr:rowOff>
    </xdr:from>
    <xdr:to>
      <xdr:col>14</xdr:col>
      <xdr:colOff>506880</xdr:colOff>
      <xdr:row>29</xdr:row>
      <xdr:rowOff>48960</xdr:rowOff>
    </xdr:to>
    <xdr:graphicFrame>
      <xdr:nvGraphicFramePr>
        <xdr:cNvPr id="3" name="Chart 1"/>
        <xdr:cNvGraphicFramePr/>
      </xdr:nvGraphicFramePr>
      <xdr:xfrm>
        <a:off x="211320" y="2089800"/>
        <a:ext cx="10797840" cy="359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30</xdr:row>
      <xdr:rowOff>70560</xdr:rowOff>
    </xdr:from>
    <xdr:to>
      <xdr:col>14</xdr:col>
      <xdr:colOff>506880</xdr:colOff>
      <xdr:row>49</xdr:row>
      <xdr:rowOff>48600</xdr:rowOff>
    </xdr:to>
    <xdr:graphicFrame>
      <xdr:nvGraphicFramePr>
        <xdr:cNvPr id="4" name="Chart 2"/>
        <xdr:cNvGraphicFramePr/>
      </xdr:nvGraphicFramePr>
      <xdr:xfrm>
        <a:off x="211320" y="5900040"/>
        <a:ext cx="10797840" cy="359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11" min="2" style="1" width="16"/>
  </cols>
  <sheetData>
    <row r="1" customFormat="false" ht="18" hidden="false" customHeight="true" outlineLevel="0" collapsed="false"/>
    <row r="2" customFormat="false" ht="18" hidden="false" customHeight="true" outlineLevel="0" collapsed="false"/>
    <row r="3" customFormat="false" ht="18" hidden="false" customHeight="true" outlineLevel="0" collapsed="false">
      <c r="B3" s="2" t="s">
        <v>0</v>
      </c>
      <c r="C3" s="2"/>
      <c r="D3" s="2"/>
      <c r="E3" s="2"/>
      <c r="F3" s="2"/>
      <c r="G3" s="2"/>
      <c r="H3" s="2"/>
      <c r="I3" s="2"/>
      <c r="J3" s="2"/>
      <c r="K3" s="2"/>
    </row>
    <row r="4" customFormat="false" ht="18" hidden="false" customHeight="true" outlineLevel="0" collapsed="false"/>
    <row r="5" customFormat="false" ht="18" hidden="false" customHeight="true" outlineLevel="0" collapsed="false">
      <c r="B5" s="3" t="s">
        <v>1</v>
      </c>
      <c r="C5" s="3"/>
      <c r="D5" s="3"/>
      <c r="E5" s="3"/>
      <c r="F5" s="3"/>
      <c r="G5" s="3"/>
      <c r="H5" s="3"/>
      <c r="I5" s="3"/>
      <c r="J5" s="3"/>
      <c r="K5" s="3"/>
    </row>
    <row r="6" customFormat="false" ht="18" hidden="false" customHeight="true" outlineLevel="0" collapsed="false">
      <c r="B6" s="4" t="s">
        <v>2</v>
      </c>
      <c r="C6" s="4"/>
      <c r="D6" s="4"/>
      <c r="E6" s="4"/>
      <c r="F6" s="4"/>
      <c r="G6" s="4"/>
      <c r="H6" s="4"/>
      <c r="I6" s="4"/>
      <c r="J6" s="4"/>
      <c r="K6" s="4"/>
    </row>
    <row r="7" customFormat="false" ht="18" hidden="false" customHeight="true" outlineLevel="0" collapsed="false"/>
    <row r="8" customFormat="false" ht="18" hidden="false" customHeight="true" outlineLevel="0" collapsed="false">
      <c r="B8" s="5"/>
      <c r="C8" s="5"/>
      <c r="D8" s="5"/>
      <c r="E8" s="5"/>
      <c r="F8" s="5"/>
      <c r="G8" s="5"/>
      <c r="H8" s="5"/>
      <c r="I8" s="5"/>
      <c r="J8" s="5"/>
      <c r="K8" s="5"/>
    </row>
    <row r="9" customFormat="false" ht="18" hidden="false" customHeight="true" outlineLevel="0" collapsed="false">
      <c r="B9" s="6"/>
      <c r="C9" s="6"/>
      <c r="D9" s="6"/>
      <c r="E9" s="6"/>
      <c r="F9" s="6"/>
      <c r="G9" s="6"/>
      <c r="H9" s="6"/>
      <c r="I9" s="6"/>
      <c r="J9" s="6"/>
      <c r="K9" s="6"/>
    </row>
    <row r="10" customFormat="false" ht="18" hidden="false" customHeight="true" outlineLevel="0" collapsed="false">
      <c r="B10" s="7"/>
      <c r="C10" s="7"/>
      <c r="D10" s="7"/>
      <c r="E10" s="7"/>
      <c r="F10" s="7"/>
      <c r="G10" s="7"/>
      <c r="H10" s="7"/>
      <c r="I10" s="7"/>
      <c r="J10" s="7"/>
      <c r="K10" s="7"/>
    </row>
    <row r="11" customFormat="false" ht="18" hidden="false" customHeight="true" outlineLevel="0" collapsed="false"/>
    <row r="12" customFormat="false" ht="18" hidden="false" customHeight="true" outlineLevel="0" collapsed="false">
      <c r="B12" s="8" t="s">
        <v>3</v>
      </c>
      <c r="C12" s="8"/>
      <c r="D12" s="8"/>
      <c r="E12" s="8"/>
      <c r="G12" s="8" t="s">
        <v>4</v>
      </c>
      <c r="H12" s="8"/>
      <c r="I12" s="8"/>
      <c r="J12" s="8"/>
      <c r="K12" s="8"/>
    </row>
    <row r="13" customFormat="false" ht="18" hidden="false" customHeight="true" outlineLevel="0" collapsed="false">
      <c r="B13" s="9" t="s">
        <v>5</v>
      </c>
      <c r="C13" s="9"/>
      <c r="D13" s="9"/>
      <c r="E13" s="9"/>
      <c r="G13" s="10" t="s">
        <v>6</v>
      </c>
      <c r="H13" s="10"/>
      <c r="I13" s="10"/>
      <c r="J13" s="10"/>
      <c r="K13" s="10"/>
    </row>
    <row r="14" customFormat="false" ht="18" hidden="false" customHeight="true" outlineLevel="0" collapsed="false">
      <c r="G14" s="10"/>
      <c r="H14" s="10"/>
      <c r="I14" s="10"/>
      <c r="J14" s="10"/>
      <c r="K14" s="10"/>
    </row>
    <row r="15" customFormat="false" ht="18" hidden="false" customHeight="true" outlineLevel="0" collapsed="false">
      <c r="B15" s="8" t="s">
        <v>7</v>
      </c>
      <c r="C15" s="8"/>
      <c r="D15" s="8"/>
      <c r="E15" s="8"/>
      <c r="G15" s="10"/>
      <c r="H15" s="10"/>
      <c r="I15" s="10"/>
      <c r="J15" s="10"/>
      <c r="K15" s="10"/>
    </row>
    <row r="16" customFormat="false" ht="18" hidden="false" customHeight="true" outlineLevel="0" collapsed="false">
      <c r="B16" s="9" t="s">
        <v>8</v>
      </c>
      <c r="C16" s="9"/>
      <c r="D16" s="9"/>
      <c r="E16" s="9"/>
      <c r="G16" s="10"/>
      <c r="H16" s="10"/>
      <c r="I16" s="10"/>
      <c r="J16" s="10"/>
      <c r="K16" s="10"/>
    </row>
    <row r="17" customFormat="false" ht="18" hidden="false" customHeight="true" outlineLevel="0" collapsed="false"/>
    <row r="18" customFormat="false" ht="18" hidden="false" customHeight="true" outlineLevel="0" collapsed="false">
      <c r="B18" s="8" t="s">
        <v>9</v>
      </c>
      <c r="C18" s="8"/>
      <c r="D18" s="8"/>
      <c r="E18" s="8"/>
    </row>
    <row r="19" customFormat="false" ht="18" hidden="false" customHeight="true" outlineLevel="0" collapsed="false">
      <c r="B19" s="9" t="s">
        <v>10</v>
      </c>
      <c r="C19" s="9"/>
      <c r="D19" s="9"/>
      <c r="E19" s="9"/>
    </row>
    <row r="20" customFormat="false" ht="18" hidden="false" customHeight="true" outlineLevel="0" collapsed="false"/>
    <row r="21" customFormat="false" ht="18" hidden="false" customHeight="true" outlineLevel="0" collapsed="false"/>
    <row r="22" customFormat="false" ht="18" hidden="false" customHeight="true" outlineLevel="0" collapsed="false">
      <c r="B22" s="11" t="s">
        <v>11</v>
      </c>
      <c r="C22" s="11"/>
      <c r="D22" s="11"/>
      <c r="E22" s="11"/>
      <c r="F22" s="11"/>
      <c r="G22" s="11"/>
      <c r="H22" s="11"/>
      <c r="I22" s="11"/>
      <c r="J22" s="11"/>
      <c r="K22" s="11"/>
    </row>
    <row r="23" customFormat="false" ht="18" hidden="false" customHeight="true" outlineLevel="0" collapsed="false"/>
    <row r="24" customFormat="false" ht="18" hidden="false" customHeight="true" outlineLevel="0" collapsed="false">
      <c r="B24" s="12" t="s">
        <v>12</v>
      </c>
    </row>
    <row r="25" customFormat="false" ht="18" hidden="false" customHeight="true" outlineLevel="0" collapsed="false">
      <c r="B25" s="12" t="s">
        <v>13</v>
      </c>
    </row>
    <row r="26" customFormat="false" ht="18" hidden="false" customHeight="true" outlineLevel="0" collapsed="false">
      <c r="B26" s="12" t="s">
        <v>14</v>
      </c>
    </row>
    <row r="27" customFormat="false" ht="18" hidden="false" customHeight="true" outlineLevel="0" collapsed="false">
      <c r="B27" s="12" t="s">
        <v>15</v>
      </c>
    </row>
    <row r="28" customFormat="false" ht="18" hidden="false" customHeight="true" outlineLevel="0" collapsed="false">
      <c r="B28" s="12" t="s">
        <v>16</v>
      </c>
    </row>
    <row r="29" customFormat="false" ht="18" hidden="false" customHeight="true" outlineLevel="0" collapsed="false">
      <c r="B29" s="12" t="s">
        <v>17</v>
      </c>
    </row>
    <row r="30" customFormat="false" ht="18" hidden="false" customHeight="true" outlineLevel="0" collapsed="false">
      <c r="B30" s="12" t="s">
        <v>18</v>
      </c>
    </row>
    <row r="31" customFormat="false" ht="18" hidden="false" customHeight="true" outlineLevel="0" collapsed="false">
      <c r="B31" s="12" t="s">
        <v>19</v>
      </c>
    </row>
    <row r="32" customFormat="false" ht="18" hidden="false" customHeight="true" outlineLevel="0" collapsed="false">
      <c r="B32" s="12" t="s">
        <v>20</v>
      </c>
    </row>
    <row r="33" customFormat="false" ht="18" hidden="false" customHeight="true" outlineLevel="0" collapsed="false">
      <c r="B33" s="12" t="s">
        <v>21</v>
      </c>
    </row>
    <row r="34" customFormat="false" ht="18" hidden="false" customHeight="true" outlineLevel="0" collapsed="false">
      <c r="B34" s="13"/>
      <c r="C34" s="13"/>
      <c r="D34" s="13"/>
      <c r="E34" s="13"/>
      <c r="F34" s="13"/>
      <c r="G34" s="13"/>
      <c r="H34" s="13"/>
      <c r="I34" s="13"/>
      <c r="J34" s="13"/>
      <c r="K34" s="13"/>
    </row>
    <row r="35" customFormat="false" ht="18" hidden="false" customHeight="true" outlineLevel="0" collapsed="false">
      <c r="B35" s="14" t="s">
        <v>22</v>
      </c>
    </row>
    <row r="36" customFormat="false" ht="18" hidden="false" customHeight="true" outlineLevel="0" collapsed="false"/>
    <row r="37" customFormat="false" ht="18" hidden="false" customHeight="true" outlineLevel="0" collapsed="false">
      <c r="B37" s="15" t="s">
        <v>23</v>
      </c>
    </row>
    <row r="38" customFormat="false" ht="18" hidden="false" customHeight="true" outlineLevel="0" collapsed="false">
      <c r="B38" s="12" t="s">
        <v>24</v>
      </c>
    </row>
    <row r="39" customFormat="false" ht="18" hidden="false" customHeight="true" outlineLevel="0" collapsed="false"/>
  </sheetData>
  <mergeCells count="16">
    <mergeCell ref="B3:K3"/>
    <mergeCell ref="B5:K5"/>
    <mergeCell ref="B6:K6"/>
    <mergeCell ref="B8:K8"/>
    <mergeCell ref="B9:K9"/>
    <mergeCell ref="B10:K10"/>
    <mergeCell ref="B12:E12"/>
    <mergeCell ref="G12:K12"/>
    <mergeCell ref="B13:E13"/>
    <mergeCell ref="G13:K16"/>
    <mergeCell ref="B15:E15"/>
    <mergeCell ref="B16:E16"/>
    <mergeCell ref="B18:E18"/>
    <mergeCell ref="B19:E19"/>
    <mergeCell ref="B22:K22"/>
    <mergeCell ref="B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12" min="2" style="1" width="15"/>
  </cols>
  <sheetData>
    <row r="2" customFormat="false" ht="24" hidden="false" customHeight="true" outlineLevel="0" collapsed="false">
      <c r="B2" s="16" t="s">
        <v>25</v>
      </c>
      <c r="C2" s="16"/>
      <c r="D2" s="16"/>
      <c r="E2" s="16"/>
      <c r="F2" s="16"/>
      <c r="G2" s="16"/>
      <c r="H2" s="16"/>
      <c r="I2" s="16"/>
      <c r="J2" s="16"/>
      <c r="K2" s="16"/>
      <c r="L2" s="16"/>
    </row>
    <row r="3" customFormat="false" ht="15" hidden="false" customHeight="true" outlineLevel="0" collapsed="false">
      <c r="B3" s="4" t="s">
        <v>26</v>
      </c>
      <c r="C3" s="4"/>
      <c r="D3" s="4"/>
      <c r="E3" s="4"/>
      <c r="F3" s="4"/>
      <c r="G3" s="4"/>
      <c r="H3" s="4"/>
      <c r="I3" s="4"/>
      <c r="J3" s="4"/>
      <c r="K3" s="4"/>
      <c r="L3" s="4"/>
    </row>
    <row r="5" customFormat="false" ht="15" hidden="false" customHeight="true" outlineLevel="0" collapsed="false">
      <c r="B5" s="17" t="s">
        <v>27</v>
      </c>
      <c r="C5" s="17"/>
      <c r="D5" s="17"/>
      <c r="E5" s="18" t="s">
        <v>28</v>
      </c>
      <c r="F5" s="18"/>
      <c r="G5" s="18"/>
      <c r="H5" s="17" t="s">
        <v>29</v>
      </c>
      <c r="I5" s="17"/>
      <c r="J5" s="17"/>
      <c r="K5" s="18" t="s">
        <v>30</v>
      </c>
      <c r="L5" s="18"/>
      <c r="M5" s="18"/>
    </row>
    <row r="6" customFormat="false" ht="15" hidden="false" customHeight="true" outlineLevel="0" collapsed="false">
      <c r="B6" s="19" t="n">
        <f aca="false">SUM('P&amp;L Operativo Ajustado'!J7:U7)</f>
        <v>2507416.73</v>
      </c>
      <c r="C6" s="19"/>
      <c r="D6" s="19"/>
      <c r="E6" s="20" t="n">
        <f aca="false">SUM('P&amp;L Operativo Ajustado'!J38:U38)</f>
        <v>1088577.32</v>
      </c>
      <c r="F6" s="20"/>
      <c r="G6" s="20"/>
      <c r="H6" s="21" t="n">
        <f aca="false">SUM('P&amp;L Operativo Ajustado'!J38:U38)/SUM('P&amp;L Operativo Ajustado'!J7:U7)</f>
        <v>0.434142959555032</v>
      </c>
      <c r="I6" s="21"/>
      <c r="J6" s="21"/>
      <c r="K6" s="22" t="n">
        <f aca="false">(AVERAGE('P&amp;L Operativo Ajustado'!J7:U7)/AVERAGE('P&amp;L Operativo Ajustado'!C7:I7))-1</f>
        <v>0.378221827421156</v>
      </c>
      <c r="L6" s="22"/>
      <c r="M6" s="22"/>
    </row>
    <row r="7" customFormat="false" ht="15" hidden="false" customHeight="true" outlineLevel="0" collapsed="false">
      <c r="B7" s="19"/>
      <c r="C7" s="19"/>
      <c r="D7" s="19"/>
      <c r="E7" s="20"/>
      <c r="F7" s="20"/>
      <c r="G7" s="20"/>
      <c r="H7" s="21"/>
      <c r="I7" s="21"/>
      <c r="J7" s="21"/>
      <c r="K7" s="22"/>
      <c r="L7" s="22"/>
      <c r="M7" s="22"/>
    </row>
    <row r="9" customFormat="false" ht="15" hidden="false" customHeight="true" outlineLevel="0" collapsed="false">
      <c r="B9" s="18" t="s">
        <v>31</v>
      </c>
      <c r="C9" s="18"/>
      <c r="D9" s="18"/>
      <c r="E9" s="17" t="s">
        <v>32</v>
      </c>
      <c r="F9" s="17"/>
      <c r="G9" s="17"/>
      <c r="H9" s="18" t="s">
        <v>33</v>
      </c>
      <c r="I9" s="18"/>
      <c r="J9" s="18"/>
      <c r="K9" s="17" t="s">
        <v>34</v>
      </c>
      <c r="L9" s="17"/>
      <c r="M9" s="17"/>
    </row>
    <row r="10" customFormat="false" ht="15" hidden="false" customHeight="true" outlineLevel="0" collapsed="false">
      <c r="B10" s="20" t="n">
        <f aca="false">AVERAGE('P&amp;L Operativo Ajustado'!J7:U7)</f>
        <v>208951.394166667</v>
      </c>
      <c r="C10" s="20"/>
      <c r="D10" s="20"/>
      <c r="E10" s="19" t="n">
        <f aca="false">AVERAGE('P&amp;L Operativo Ajustado'!J38:U38)</f>
        <v>90714.7766666667</v>
      </c>
      <c r="F10" s="19"/>
      <c r="G10" s="19"/>
      <c r="H10" s="23" t="n">
        <v>33000000</v>
      </c>
      <c r="I10" s="23"/>
      <c r="J10" s="23"/>
      <c r="K10" s="24" t="n">
        <f aca="false">H10/SUM('P&amp;L Operativo Ajustado'!J38:U38)</f>
        <v>30.3147965640144</v>
      </c>
      <c r="L10" s="24"/>
      <c r="M10" s="24"/>
    </row>
    <row r="11" customFormat="false" ht="15" hidden="false" customHeight="true" outlineLevel="0" collapsed="false">
      <c r="B11" s="20"/>
      <c r="C11" s="20"/>
      <c r="D11" s="20"/>
      <c r="E11" s="19"/>
      <c r="F11" s="19"/>
      <c r="G11" s="19"/>
      <c r="H11" s="23"/>
      <c r="I11" s="23"/>
      <c r="J11" s="23"/>
      <c r="K11" s="24"/>
      <c r="L11" s="24"/>
      <c r="M11" s="24"/>
    </row>
    <row r="13" customFormat="false" ht="15" hidden="false" customHeight="true" outlineLevel="0" collapsed="false">
      <c r="B13" s="13" t="s">
        <v>35</v>
      </c>
      <c r="C13" s="13"/>
      <c r="D13" s="13"/>
      <c r="E13" s="13"/>
      <c r="F13" s="13"/>
      <c r="G13" s="13"/>
      <c r="H13" s="13"/>
      <c r="I13" s="13"/>
      <c r="J13" s="13"/>
      <c r="K13" s="13"/>
      <c r="L13" s="13"/>
    </row>
    <row r="14" customFormat="false" ht="15.75" hidden="false" customHeight="true" outlineLevel="0" collapsed="false">
      <c r="B14" s="25" t="s">
        <v>36</v>
      </c>
      <c r="C14" s="25"/>
      <c r="D14" s="25"/>
      <c r="E14" s="25"/>
      <c r="F14" s="25"/>
      <c r="G14" s="25"/>
      <c r="H14" s="25"/>
      <c r="I14" s="25"/>
      <c r="J14" s="25"/>
      <c r="K14" s="25"/>
      <c r="L14" s="25"/>
    </row>
    <row r="16" customFormat="false" ht="15" hidden="false" customHeight="true" outlineLevel="0" collapsed="false">
      <c r="B16" s="26" t="s">
        <v>37</v>
      </c>
      <c r="C16" s="26"/>
      <c r="D16" s="26"/>
      <c r="E16" s="26"/>
      <c r="F16" s="26"/>
      <c r="G16" s="26"/>
      <c r="H16" s="26"/>
      <c r="I16" s="26"/>
      <c r="J16" s="26"/>
      <c r="K16" s="26"/>
      <c r="L16" s="26"/>
    </row>
    <row r="17" customFormat="false" ht="15" hidden="false" customHeight="true" outlineLevel="0" collapsed="false">
      <c r="B17" s="26" t="s">
        <v>38</v>
      </c>
      <c r="C17" s="26"/>
      <c r="D17" s="26"/>
      <c r="E17" s="26"/>
      <c r="F17" s="26"/>
      <c r="G17" s="26"/>
      <c r="H17" s="26"/>
      <c r="I17" s="26"/>
      <c r="J17" s="26"/>
      <c r="K17" s="26"/>
      <c r="L17" s="26"/>
    </row>
    <row r="18" customFormat="false" ht="15" hidden="false" customHeight="true" outlineLevel="0" collapsed="false">
      <c r="B18" s="26" t="s">
        <v>39</v>
      </c>
      <c r="C18" s="26"/>
      <c r="D18" s="26"/>
      <c r="E18" s="26"/>
      <c r="F18" s="26"/>
      <c r="G18" s="26"/>
      <c r="H18" s="26"/>
      <c r="I18" s="26"/>
      <c r="J18" s="26"/>
      <c r="K18" s="26"/>
      <c r="L18" s="26"/>
    </row>
    <row r="19" customFormat="false" ht="15" hidden="false" customHeight="true" outlineLevel="0" collapsed="false">
      <c r="B19" s="26" t="s">
        <v>40</v>
      </c>
      <c r="C19" s="26"/>
      <c r="D19" s="26"/>
      <c r="E19" s="26"/>
      <c r="F19" s="26"/>
      <c r="G19" s="26"/>
      <c r="H19" s="26"/>
      <c r="I19" s="26"/>
      <c r="J19" s="26"/>
      <c r="K19" s="26"/>
      <c r="L19" s="26"/>
    </row>
    <row r="20" customFormat="false" ht="15" hidden="false" customHeight="true" outlineLevel="0" collapsed="false">
      <c r="B20" s="26" t="s">
        <v>41</v>
      </c>
      <c r="C20" s="26"/>
      <c r="D20" s="26"/>
      <c r="E20" s="26"/>
      <c r="F20" s="26"/>
      <c r="G20" s="26"/>
      <c r="H20" s="26"/>
      <c r="I20" s="26"/>
      <c r="J20" s="26"/>
      <c r="K20" s="26"/>
      <c r="L20" s="26"/>
    </row>
    <row r="21" customFormat="false" ht="15" hidden="false" customHeight="true" outlineLevel="0" collapsed="false">
      <c r="B21" s="26" t="s">
        <v>42</v>
      </c>
      <c r="C21" s="26"/>
      <c r="D21" s="26"/>
      <c r="E21" s="26"/>
      <c r="F21" s="26"/>
      <c r="G21" s="26"/>
      <c r="H21" s="26"/>
      <c r="I21" s="26"/>
      <c r="J21" s="26"/>
      <c r="K21" s="26"/>
      <c r="L21" s="26"/>
    </row>
    <row r="22" customFormat="false" ht="15" hidden="false" customHeight="true" outlineLevel="0" collapsed="false">
      <c r="B22" s="26" t="s">
        <v>43</v>
      </c>
      <c r="C22" s="26"/>
      <c r="D22" s="26"/>
      <c r="E22" s="26"/>
      <c r="F22" s="26"/>
      <c r="G22" s="26"/>
      <c r="H22" s="26"/>
      <c r="I22" s="26"/>
      <c r="J22" s="26"/>
      <c r="K22" s="26"/>
      <c r="L22" s="26"/>
    </row>
    <row r="23" customFormat="false" ht="15.75" hidden="false" customHeight="true" outlineLevel="0" collapsed="false">
      <c r="B23" s="27" t="s">
        <v>44</v>
      </c>
      <c r="C23" s="27"/>
      <c r="D23" s="27"/>
      <c r="E23" s="27"/>
      <c r="F23" s="27"/>
      <c r="G23" s="27"/>
      <c r="H23" s="27"/>
      <c r="I23" s="27"/>
      <c r="J23" s="27"/>
      <c r="K23" s="27"/>
      <c r="L23" s="27"/>
    </row>
    <row r="25" customFormat="false" ht="15" hidden="false" customHeight="true" outlineLevel="0" collapsed="false">
      <c r="B25" s="13" t="s">
        <v>45</v>
      </c>
      <c r="C25" s="13"/>
      <c r="D25" s="13"/>
      <c r="E25" s="13"/>
      <c r="F25" s="13"/>
      <c r="G25" s="13"/>
      <c r="H25" s="13"/>
      <c r="I25" s="13"/>
      <c r="J25" s="13"/>
      <c r="K25" s="13"/>
      <c r="L25" s="13"/>
    </row>
  </sheetData>
  <mergeCells count="29">
    <mergeCell ref="B2:L2"/>
    <mergeCell ref="B3:L3"/>
    <mergeCell ref="B5:D5"/>
    <mergeCell ref="E5:G5"/>
    <mergeCell ref="H5:J5"/>
    <mergeCell ref="K5:M5"/>
    <mergeCell ref="B6:D7"/>
    <mergeCell ref="E6:G7"/>
    <mergeCell ref="H6:J7"/>
    <mergeCell ref="K6:M7"/>
    <mergeCell ref="B9:D9"/>
    <mergeCell ref="E9:G9"/>
    <mergeCell ref="H9:J9"/>
    <mergeCell ref="K9:M9"/>
    <mergeCell ref="B10:D11"/>
    <mergeCell ref="E10:G11"/>
    <mergeCell ref="H10:J11"/>
    <mergeCell ref="K10:M11"/>
    <mergeCell ref="B13:L13"/>
    <mergeCell ref="B14:L14"/>
    <mergeCell ref="B16:L16"/>
    <mergeCell ref="B17:L17"/>
    <mergeCell ref="B18:L18"/>
    <mergeCell ref="B19:L19"/>
    <mergeCell ref="B20:L20"/>
    <mergeCell ref="B21:L21"/>
    <mergeCell ref="B22:L22"/>
    <mergeCell ref="B23:L23"/>
    <mergeCell ref="B25:L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0"/>
    <col collapsed="false" customWidth="true" hidden="false" outlineLevel="0" max="4" min="4" style="1" width="3"/>
  </cols>
  <sheetData>
    <row r="2" customFormat="false" ht="24" hidden="false" customHeight="true" outlineLevel="0" collapsed="false">
      <c r="B2" s="16" t="s">
        <v>46</v>
      </c>
      <c r="C2" s="16"/>
    </row>
    <row r="3" customFormat="false" ht="15" hidden="false" customHeight="true" outlineLevel="0" collapsed="false">
      <c r="B3" s="4" t="s">
        <v>47</v>
      </c>
      <c r="C3" s="4"/>
    </row>
    <row r="5" customFormat="false" ht="15" hidden="false" customHeight="true" outlineLevel="0" collapsed="false">
      <c r="B5" s="28" t="s">
        <v>48</v>
      </c>
      <c r="C5" s="28" t="s">
        <v>49</v>
      </c>
    </row>
    <row r="6" customFormat="false" ht="90" hidden="false" customHeight="true" outlineLevel="0" collapsed="false">
      <c r="B6" s="29" t="s">
        <v>50</v>
      </c>
      <c r="C6" s="30" t="s">
        <v>51</v>
      </c>
    </row>
    <row r="7" customFormat="false" ht="90" hidden="false" customHeight="true" outlineLevel="0" collapsed="false">
      <c r="B7" s="31" t="s">
        <v>52</v>
      </c>
      <c r="C7" s="32" t="s">
        <v>53</v>
      </c>
    </row>
    <row r="8" customFormat="false" ht="90" hidden="false" customHeight="true" outlineLevel="0" collapsed="false">
      <c r="B8" s="29" t="s">
        <v>54</v>
      </c>
      <c r="C8" s="30" t="s">
        <v>55</v>
      </c>
    </row>
    <row r="9" customFormat="false" ht="90" hidden="false" customHeight="true" outlineLevel="0" collapsed="false">
      <c r="B9" s="31" t="s">
        <v>56</v>
      </c>
      <c r="C9" s="32" t="s">
        <v>57</v>
      </c>
    </row>
    <row r="10" customFormat="false" ht="90" hidden="false" customHeight="true" outlineLevel="0" collapsed="false">
      <c r="B10" s="29" t="s">
        <v>58</v>
      </c>
      <c r="C10" s="30" t="s">
        <v>59</v>
      </c>
    </row>
    <row r="11" customFormat="false" ht="90" hidden="false" customHeight="true" outlineLevel="0" collapsed="false">
      <c r="B11" s="31" t="s">
        <v>60</v>
      </c>
      <c r="C11" s="32" t="s">
        <v>61</v>
      </c>
    </row>
    <row r="12" customFormat="false" ht="68.25" hidden="false" customHeight="true" outlineLevel="0" collapsed="false">
      <c r="B12" s="31" t="s">
        <v>62</v>
      </c>
      <c r="C12" s="32" t="s">
        <v>63</v>
      </c>
    </row>
    <row r="13" customFormat="false" ht="15" hidden="false" customHeight="true" outlineLevel="0" collapsed="false">
      <c r="B13" s="33"/>
      <c r="C13" s="33"/>
    </row>
    <row r="14" customFormat="false" ht="15" hidden="false" customHeight="true" outlineLevel="0" collapsed="false">
      <c r="B14" s="34" t="s">
        <v>64</v>
      </c>
    </row>
  </sheetData>
  <mergeCells count="3">
    <mergeCell ref="B2:C2"/>
    <mergeCell ref="B3:C3"/>
    <mergeCell ref="B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21" min="3" style="1" width="10"/>
    <col collapsed="false" customWidth="true" hidden="false" outlineLevel="0" max="22" min="22" style="1" width="3"/>
  </cols>
  <sheetData>
    <row r="2" customFormat="false" ht="24" hidden="false" customHeight="true" outlineLevel="0" collapsed="false">
      <c r="B2" s="16" t="s">
        <v>65</v>
      </c>
      <c r="C2" s="16"/>
      <c r="D2" s="16"/>
      <c r="E2" s="16"/>
      <c r="F2" s="16"/>
      <c r="G2" s="16"/>
      <c r="H2" s="16"/>
      <c r="I2" s="16"/>
      <c r="J2" s="16"/>
      <c r="K2" s="16"/>
      <c r="L2" s="16"/>
      <c r="M2" s="16"/>
      <c r="N2" s="16"/>
      <c r="O2" s="16"/>
      <c r="P2" s="16"/>
      <c r="Q2" s="16"/>
      <c r="R2" s="16"/>
      <c r="S2" s="16"/>
      <c r="T2" s="16"/>
      <c r="U2" s="16"/>
    </row>
    <row r="3" customFormat="false" ht="15" hidden="false" customHeight="true" outlineLevel="0" collapsed="false">
      <c r="B3" s="4" t="s">
        <v>66</v>
      </c>
      <c r="C3" s="4"/>
      <c r="D3" s="4"/>
      <c r="E3" s="4"/>
      <c r="F3" s="4"/>
      <c r="G3" s="4"/>
      <c r="H3" s="4"/>
      <c r="I3" s="4"/>
      <c r="J3" s="4"/>
      <c r="K3" s="4"/>
      <c r="L3" s="4"/>
      <c r="M3" s="4"/>
      <c r="N3" s="4"/>
      <c r="O3" s="4"/>
      <c r="P3" s="4"/>
      <c r="Q3" s="4"/>
      <c r="R3" s="4"/>
      <c r="S3" s="4"/>
      <c r="T3" s="4"/>
      <c r="U3" s="4"/>
    </row>
    <row r="6" customFormat="false" ht="21.75" hidden="false" customHeight="true" outlineLevel="0" collapsed="false">
      <c r="B6" s="35" t="s">
        <v>67</v>
      </c>
      <c r="C6" s="35" t="s">
        <v>68</v>
      </c>
      <c r="D6" s="35" t="s">
        <v>69</v>
      </c>
      <c r="E6" s="35" t="s">
        <v>70</v>
      </c>
      <c r="F6" s="35" t="s">
        <v>71</v>
      </c>
      <c r="G6" s="35" t="s">
        <v>72</v>
      </c>
      <c r="H6" s="35" t="s">
        <v>73</v>
      </c>
      <c r="I6" s="35" t="s">
        <v>74</v>
      </c>
      <c r="J6" s="35" t="s">
        <v>75</v>
      </c>
      <c r="K6" s="35" t="s">
        <v>76</v>
      </c>
      <c r="L6" s="35" t="s">
        <v>77</v>
      </c>
      <c r="M6" s="35" t="s">
        <v>78</v>
      </c>
      <c r="N6" s="35" t="s">
        <v>79</v>
      </c>
      <c r="O6" s="35" t="s">
        <v>80</v>
      </c>
      <c r="P6" s="35" t="s">
        <v>81</v>
      </c>
      <c r="Q6" s="35" t="s">
        <v>82</v>
      </c>
      <c r="R6" s="35" t="s">
        <v>83</v>
      </c>
      <c r="S6" s="35" t="s">
        <v>84</v>
      </c>
      <c r="T6" s="35" t="s">
        <v>85</v>
      </c>
      <c r="U6" s="35" t="s">
        <v>86</v>
      </c>
    </row>
    <row r="7" customFormat="false" ht="15" hidden="false" customHeight="true" outlineLevel="0" collapsed="false">
      <c r="B7" s="36" t="s">
        <v>87</v>
      </c>
      <c r="C7" s="37" t="n">
        <f aca="false">SUM('Datos Fuente'!C8:C15)</f>
        <v>121118.85</v>
      </c>
      <c r="D7" s="37" t="n">
        <f aca="false">SUM('Datos Fuente'!D8:D15)</f>
        <v>122328</v>
      </c>
      <c r="E7" s="37" t="n">
        <f aca="false">SUM('Datos Fuente'!E8:E15)</f>
        <v>132050</v>
      </c>
      <c r="F7" s="37" t="n">
        <f aca="false">SUM('Datos Fuente'!F8:F15)</f>
        <v>152941</v>
      </c>
      <c r="G7" s="37" t="n">
        <f aca="false">SUM('Datos Fuente'!G8:G15)</f>
        <v>175195</v>
      </c>
      <c r="H7" s="37" t="n">
        <f aca="false">SUM('Datos Fuente'!H8:H15)</f>
        <v>192060</v>
      </c>
      <c r="I7" s="37" t="n">
        <f aca="false">SUM('Datos Fuente'!I8:I15)</f>
        <v>165573</v>
      </c>
      <c r="J7" s="37" t="n">
        <f aca="false">SUM('Datos Fuente'!J8:J15)</f>
        <v>193376</v>
      </c>
      <c r="K7" s="37" t="n">
        <f aca="false">SUM('Datos Fuente'!K8:K15)</f>
        <v>227320</v>
      </c>
      <c r="L7" s="37" t="n">
        <f aca="false">SUM('Datos Fuente'!L8:L15)</f>
        <v>189626</v>
      </c>
      <c r="M7" s="37" t="n">
        <f aca="false">SUM('Datos Fuente'!M8:M15)</f>
        <v>208757</v>
      </c>
      <c r="N7" s="37" t="n">
        <f aca="false">SUM('Datos Fuente'!N8:N15)</f>
        <v>217480</v>
      </c>
      <c r="O7" s="37" t="n">
        <f aca="false">SUM('Datos Fuente'!O8:O15)</f>
        <v>195059</v>
      </c>
      <c r="P7" s="37" t="n">
        <f aca="false">SUM('Datos Fuente'!P8:P15)</f>
        <v>194893</v>
      </c>
      <c r="Q7" s="37" t="n">
        <f aca="false">SUM('Datos Fuente'!Q8:Q15)</f>
        <v>223882.07</v>
      </c>
      <c r="R7" s="37" t="n">
        <f aca="false">SUM('Datos Fuente'!R8:R15)</f>
        <v>192838.99</v>
      </c>
      <c r="S7" s="37" t="n">
        <f aca="false">SUM('Datos Fuente'!S8:S15)</f>
        <v>223536.97</v>
      </c>
      <c r="T7" s="37" t="n">
        <f aca="false">SUM('Datos Fuente'!T8:T15)</f>
        <v>232851.63</v>
      </c>
      <c r="U7" s="37" t="n">
        <f aca="false">SUM('Datos Fuente'!U8:U15)</f>
        <v>207796.07</v>
      </c>
    </row>
    <row r="8" customFormat="false" ht="15" hidden="false" customHeight="true" outlineLevel="0" collapsed="false">
      <c r="B8" s="38" t="s">
        <v>88</v>
      </c>
      <c r="C8" s="39" t="n">
        <f aca="false">'Datos Fuente'!C8</f>
        <v>81741.85</v>
      </c>
      <c r="D8" s="39" t="n">
        <f aca="false">'Datos Fuente'!D8</f>
        <v>95495</v>
      </c>
      <c r="E8" s="39" t="n">
        <f aca="false">'Datos Fuente'!E8</f>
        <v>99567</v>
      </c>
      <c r="F8" s="39" t="n">
        <f aca="false">'Datos Fuente'!F8</f>
        <v>93620</v>
      </c>
      <c r="G8" s="39" t="n">
        <f aca="false">'Datos Fuente'!G8</f>
        <v>109082</v>
      </c>
      <c r="H8" s="39" t="n">
        <f aca="false">'Datos Fuente'!H8</f>
        <v>120527</v>
      </c>
      <c r="I8" s="39" t="n">
        <f aca="false">'Datos Fuente'!I8</f>
        <v>101404</v>
      </c>
      <c r="J8" s="39" t="n">
        <f aca="false">'Datos Fuente'!J8</f>
        <v>113871</v>
      </c>
      <c r="K8" s="39" t="n">
        <f aca="false">'Datos Fuente'!K8</f>
        <v>120065</v>
      </c>
      <c r="L8" s="39" t="n">
        <f aca="false">'Datos Fuente'!L8</f>
        <v>120267</v>
      </c>
      <c r="M8" s="39" t="n">
        <f aca="false">'Datos Fuente'!M8</f>
        <v>110453</v>
      </c>
      <c r="N8" s="39" t="n">
        <f aca="false">'Datos Fuente'!N8</f>
        <v>119750</v>
      </c>
      <c r="O8" s="39" t="n">
        <f aca="false">'Datos Fuente'!O8</f>
        <v>101884</v>
      </c>
      <c r="P8" s="39" t="n">
        <f aca="false">'Datos Fuente'!P8</f>
        <v>106978</v>
      </c>
      <c r="Q8" s="39" t="n">
        <f aca="false">'Datos Fuente'!Q8</f>
        <v>120974.57</v>
      </c>
      <c r="R8" s="39" t="n">
        <f aca="false">'Datos Fuente'!R8</f>
        <v>100805</v>
      </c>
      <c r="S8" s="39" t="n">
        <f aca="false">'Datos Fuente'!S8</f>
        <v>119721.28</v>
      </c>
      <c r="T8" s="39" t="n">
        <f aca="false">'Datos Fuente'!T8</f>
        <v>122406.17</v>
      </c>
      <c r="U8" s="39" t="n">
        <f aca="false">'Datos Fuente'!U8</f>
        <v>102242</v>
      </c>
    </row>
    <row r="9" customFormat="false" ht="15" hidden="false" customHeight="true" outlineLevel="0" collapsed="false">
      <c r="B9" s="38" t="s">
        <v>89</v>
      </c>
      <c r="C9" s="39" t="n">
        <f aca="false">'Datos Fuente'!C9</f>
        <v>17000</v>
      </c>
      <c r="D9" s="39" t="n">
        <f aca="false">'Datos Fuente'!D9</f>
        <v>2400</v>
      </c>
      <c r="E9" s="39" t="n">
        <f aca="false">'Datos Fuente'!E9</f>
        <v>13200</v>
      </c>
      <c r="F9" s="39" t="n">
        <f aca="false">'Datos Fuente'!F9</f>
        <v>31200</v>
      </c>
      <c r="G9" s="39" t="n">
        <f aca="false">'Datos Fuente'!G9</f>
        <v>26500</v>
      </c>
      <c r="H9" s="39" t="n">
        <f aca="false">'Datos Fuente'!H9</f>
        <v>30400</v>
      </c>
      <c r="I9" s="39" t="n">
        <f aca="false">'Datos Fuente'!I9</f>
        <v>26600</v>
      </c>
      <c r="J9" s="39" t="n">
        <f aca="false">'Datos Fuente'!J9</f>
        <v>36350</v>
      </c>
      <c r="K9" s="39" t="n">
        <f aca="false">'Datos Fuente'!K9</f>
        <v>50500</v>
      </c>
      <c r="L9" s="39" t="n">
        <f aca="false">'Datos Fuente'!L9</f>
        <v>18500</v>
      </c>
      <c r="M9" s="39" t="n">
        <f aca="false">'Datos Fuente'!M9</f>
        <v>48025</v>
      </c>
      <c r="N9" s="39" t="n">
        <f aca="false">'Datos Fuente'!N9</f>
        <v>40225</v>
      </c>
      <c r="O9" s="39" t="n">
        <f aca="false">'Datos Fuente'!O9</f>
        <v>43600</v>
      </c>
      <c r="P9" s="39" t="n">
        <f aca="false">'Datos Fuente'!P9</f>
        <v>40400</v>
      </c>
      <c r="Q9" s="39" t="n">
        <f aca="false">'Datos Fuente'!Q9</f>
        <v>49125</v>
      </c>
      <c r="R9" s="39" t="n">
        <f aca="false">'Datos Fuente'!R9</f>
        <v>46350</v>
      </c>
      <c r="S9" s="39" t="n">
        <f aca="false">'Datos Fuente'!S9</f>
        <v>51125</v>
      </c>
      <c r="T9" s="39" t="n">
        <f aca="false">'Datos Fuente'!T9</f>
        <v>61000</v>
      </c>
      <c r="U9" s="39" t="n">
        <f aca="false">'Datos Fuente'!U9</f>
        <v>63700</v>
      </c>
    </row>
    <row r="10" customFormat="false" ht="15" hidden="false" customHeight="true" outlineLevel="0" collapsed="false">
      <c r="B10" s="38" t="s">
        <v>90</v>
      </c>
      <c r="C10" s="39" t="n">
        <f aca="false">'Datos Fuente'!C10</f>
        <v>11020</v>
      </c>
      <c r="D10" s="39" t="n">
        <f aca="false">'Datos Fuente'!D10</f>
        <v>11936</v>
      </c>
      <c r="E10" s="39" t="n">
        <f aca="false">'Datos Fuente'!E10</f>
        <v>10435</v>
      </c>
      <c r="F10" s="39" t="n">
        <f aca="false">'Datos Fuente'!F10</f>
        <v>12510</v>
      </c>
      <c r="G10" s="39" t="n">
        <f aca="false">'Datos Fuente'!G10</f>
        <v>15730</v>
      </c>
      <c r="H10" s="39" t="n">
        <f aca="false">'Datos Fuente'!H10</f>
        <v>15405</v>
      </c>
      <c r="I10" s="39" t="n">
        <f aca="false">'Datos Fuente'!I10</f>
        <v>15320</v>
      </c>
      <c r="J10" s="39" t="n">
        <f aca="false">'Datos Fuente'!J10</f>
        <v>12260</v>
      </c>
      <c r="K10" s="39" t="n">
        <f aca="false">'Datos Fuente'!K10</f>
        <v>18330</v>
      </c>
      <c r="L10" s="39" t="n">
        <f aca="false">'Datos Fuente'!L10</f>
        <v>16475</v>
      </c>
      <c r="M10" s="39" t="n">
        <f aca="false">'Datos Fuente'!M10</f>
        <v>14460</v>
      </c>
      <c r="N10" s="39" t="n">
        <f aca="false">'Datos Fuente'!N10</f>
        <v>17785</v>
      </c>
      <c r="O10" s="39" t="n">
        <f aca="false">'Datos Fuente'!O10</f>
        <v>16485</v>
      </c>
      <c r="P10" s="39" t="n">
        <f aca="false">'Datos Fuente'!P10</f>
        <v>15440</v>
      </c>
      <c r="Q10" s="39" t="n">
        <f aca="false">'Datos Fuente'!Q10</f>
        <v>15879</v>
      </c>
      <c r="R10" s="39" t="n">
        <f aca="false">'Datos Fuente'!R10</f>
        <v>14924.13</v>
      </c>
      <c r="S10" s="39" t="n">
        <f aca="false">'Datos Fuente'!S10</f>
        <v>19021.92</v>
      </c>
      <c r="T10" s="39" t="n">
        <f aca="false">'Datos Fuente'!T10</f>
        <v>20212.22</v>
      </c>
      <c r="U10" s="39" t="n">
        <f aca="false">'Datos Fuente'!U10</f>
        <v>19507.36</v>
      </c>
    </row>
    <row r="11" customFormat="false" ht="15" hidden="false" customHeight="true" outlineLevel="0" collapsed="false">
      <c r="B11" s="38" t="s">
        <v>91</v>
      </c>
      <c r="C11" s="39" t="n">
        <f aca="false">'Datos Fuente'!C11</f>
        <v>6247</v>
      </c>
      <c r="D11" s="39" t="n">
        <f aca="false">'Datos Fuente'!D11</f>
        <v>5237</v>
      </c>
      <c r="E11" s="39" t="n">
        <f aca="false">'Datos Fuente'!E11</f>
        <v>3918</v>
      </c>
      <c r="F11" s="39" t="n">
        <f aca="false">'Datos Fuente'!F11</f>
        <v>3146</v>
      </c>
      <c r="G11" s="39" t="n">
        <f aca="false">'Datos Fuente'!G11</f>
        <v>9858</v>
      </c>
      <c r="H11" s="39" t="n">
        <f aca="false">'Datos Fuente'!H11</f>
        <v>12248</v>
      </c>
      <c r="I11" s="39" t="n">
        <f aca="false">'Datos Fuente'!I11</f>
        <v>7884</v>
      </c>
      <c r="J11" s="39" t="n">
        <f aca="false">'Datos Fuente'!J11</f>
        <v>12870</v>
      </c>
      <c r="K11" s="39" t="n">
        <f aca="false">'Datos Fuente'!K11</f>
        <v>11740</v>
      </c>
      <c r="L11" s="39" t="n">
        <f aca="false">'Datos Fuente'!L11</f>
        <v>12154</v>
      </c>
      <c r="M11" s="39" t="n">
        <f aca="false">'Datos Fuente'!M11</f>
        <v>14504</v>
      </c>
      <c r="N11" s="39" t="n">
        <f aca="false">'Datos Fuente'!N11</f>
        <v>12055</v>
      </c>
      <c r="O11" s="39" t="n">
        <f aca="false">'Datos Fuente'!O11</f>
        <v>12605</v>
      </c>
      <c r="P11" s="39" t="n">
        <f aca="false">'Datos Fuente'!P11</f>
        <v>11500</v>
      </c>
      <c r="Q11" s="39" t="n">
        <f aca="false">'Datos Fuente'!Q11</f>
        <v>13541.72</v>
      </c>
      <c r="R11" s="39" t="n">
        <f aca="false">'Datos Fuente'!R11</f>
        <v>11785.99</v>
      </c>
      <c r="S11" s="39" t="n">
        <f aca="false">'Datos Fuente'!S11</f>
        <v>13550</v>
      </c>
      <c r="T11" s="39" t="n">
        <f aca="false">'Datos Fuente'!T11</f>
        <v>12321.22</v>
      </c>
      <c r="U11" s="39" t="n">
        <f aca="false">'Datos Fuente'!U11</f>
        <v>10159.64</v>
      </c>
    </row>
    <row r="12" customFormat="false" ht="15" hidden="false" customHeight="true" outlineLevel="0" collapsed="false">
      <c r="B12" s="38" t="s">
        <v>92</v>
      </c>
      <c r="C12" s="39" t="n">
        <f aca="false">'Datos Fuente'!C12</f>
        <v>0</v>
      </c>
      <c r="D12" s="39" t="n">
        <f aca="false">'Datos Fuente'!D12</f>
        <v>0</v>
      </c>
      <c r="E12" s="39" t="n">
        <f aca="false">'Datos Fuente'!E12</f>
        <v>0</v>
      </c>
      <c r="F12" s="39" t="n">
        <f aca="false">'Datos Fuente'!F12</f>
        <v>5905</v>
      </c>
      <c r="G12" s="39" t="n">
        <f aca="false">'Datos Fuente'!G12</f>
        <v>6950</v>
      </c>
      <c r="H12" s="39" t="n">
        <f aca="false">'Datos Fuente'!H12</f>
        <v>6010</v>
      </c>
      <c r="I12" s="39" t="n">
        <f aca="false">'Datos Fuente'!I12</f>
        <v>7860</v>
      </c>
      <c r="J12" s="39" t="n">
        <f aca="false">'Datos Fuente'!J12</f>
        <v>10720</v>
      </c>
      <c r="K12" s="39" t="n">
        <f aca="false">'Datos Fuente'!K12</f>
        <v>13740</v>
      </c>
      <c r="L12" s="39" t="n">
        <f aca="false">'Datos Fuente'!L12</f>
        <v>10350</v>
      </c>
      <c r="M12" s="39" t="n">
        <f aca="false">'Datos Fuente'!M12</f>
        <v>12565</v>
      </c>
      <c r="N12" s="39" t="n">
        <f aca="false">'Datos Fuente'!N12</f>
        <v>11405</v>
      </c>
      <c r="O12" s="39" t="n">
        <f aca="false">'Datos Fuente'!O12</f>
        <v>9780</v>
      </c>
      <c r="P12" s="39" t="n">
        <f aca="false">'Datos Fuente'!P12</f>
        <v>10875</v>
      </c>
      <c r="Q12" s="39" t="n">
        <f aca="false">'Datos Fuente'!Q12</f>
        <v>12011.78</v>
      </c>
      <c r="R12" s="39" t="n">
        <f aca="false">'Datos Fuente'!R12</f>
        <v>8140</v>
      </c>
      <c r="S12" s="39" t="n">
        <f aca="false">'Datos Fuente'!S12</f>
        <v>11242</v>
      </c>
      <c r="T12" s="39" t="n">
        <f aca="false">'Datos Fuente'!T12</f>
        <v>7516.98</v>
      </c>
      <c r="U12" s="39" t="n">
        <f aca="false">'Datos Fuente'!U12</f>
        <v>6024.64</v>
      </c>
    </row>
    <row r="13" customFormat="false" ht="15" hidden="false" customHeight="true" outlineLevel="0" collapsed="false">
      <c r="B13" s="38" t="s">
        <v>93</v>
      </c>
      <c r="C13" s="39" t="n">
        <f aca="false">'Datos Fuente'!C13</f>
        <v>2585</v>
      </c>
      <c r="D13" s="39" t="n">
        <f aca="false">'Datos Fuente'!D13</f>
        <v>2875</v>
      </c>
      <c r="E13" s="39" t="n">
        <f aca="false">'Datos Fuente'!E13</f>
        <v>2750</v>
      </c>
      <c r="F13" s="39" t="n">
        <f aca="false">'Datos Fuente'!F13</f>
        <v>2845</v>
      </c>
      <c r="G13" s="39" t="n">
        <f aca="false">'Datos Fuente'!G13</f>
        <v>3160</v>
      </c>
      <c r="H13" s="39" t="n">
        <f aca="false">'Datos Fuente'!H13</f>
        <v>3350</v>
      </c>
      <c r="I13" s="39" t="n">
        <f aca="false">'Datos Fuente'!I13</f>
        <v>3675</v>
      </c>
      <c r="J13" s="39" t="n">
        <f aca="false">'Datos Fuente'!J13</f>
        <v>4775</v>
      </c>
      <c r="K13" s="39" t="n">
        <f aca="false">'Datos Fuente'!K13</f>
        <v>7865</v>
      </c>
      <c r="L13" s="39" t="n">
        <f aca="false">'Datos Fuente'!L13</f>
        <v>7495</v>
      </c>
      <c r="M13" s="39" t="n">
        <f aca="false">'Datos Fuente'!M13</f>
        <v>6535</v>
      </c>
      <c r="N13" s="39" t="n">
        <f aca="false">'Datos Fuente'!N13</f>
        <v>9520</v>
      </c>
      <c r="O13" s="39" t="n">
        <f aca="false">'Datos Fuente'!O13</f>
        <v>7945</v>
      </c>
      <c r="P13" s="39" t="n">
        <f aca="false">'Datos Fuente'!P13</f>
        <v>6595</v>
      </c>
      <c r="Q13" s="39" t="n">
        <f aca="false">'Datos Fuente'!Q13</f>
        <v>8200</v>
      </c>
      <c r="R13" s="39" t="n">
        <f aca="false">'Datos Fuente'!R13</f>
        <v>6583.16</v>
      </c>
      <c r="S13" s="39" t="n">
        <f aca="false">'Datos Fuente'!S13</f>
        <v>6571.77</v>
      </c>
      <c r="T13" s="39" t="n">
        <f aca="false">'Datos Fuente'!T13</f>
        <v>5980.04</v>
      </c>
      <c r="U13" s="39" t="n">
        <f aca="false">'Datos Fuente'!U13</f>
        <v>4197.43</v>
      </c>
    </row>
    <row r="14" customFormat="false" ht="15" hidden="false" customHeight="true" outlineLevel="0" collapsed="false">
      <c r="B14" s="38" t="s">
        <v>94</v>
      </c>
      <c r="C14" s="39" t="n">
        <f aca="false">'Datos Fuente'!C14</f>
        <v>2525</v>
      </c>
      <c r="D14" s="39" t="n">
        <f aca="false">'Datos Fuente'!D14</f>
        <v>4385</v>
      </c>
      <c r="E14" s="39" t="n">
        <f aca="false">'Datos Fuente'!E14</f>
        <v>2180</v>
      </c>
      <c r="F14" s="39" t="n">
        <f aca="false">'Datos Fuente'!F14</f>
        <v>3715</v>
      </c>
      <c r="G14" s="39" t="n">
        <f aca="false">'Datos Fuente'!G14</f>
        <v>3915</v>
      </c>
      <c r="H14" s="39" t="n">
        <f aca="false">'Datos Fuente'!H14</f>
        <v>4120</v>
      </c>
      <c r="I14" s="39" t="n">
        <f aca="false">'Datos Fuente'!I14</f>
        <v>2830</v>
      </c>
      <c r="J14" s="39" t="n">
        <f aca="false">'Datos Fuente'!J14</f>
        <v>2530</v>
      </c>
      <c r="K14" s="39" t="n">
        <f aca="false">'Datos Fuente'!K14</f>
        <v>5080</v>
      </c>
      <c r="L14" s="39" t="n">
        <f aca="false">'Datos Fuente'!L14</f>
        <v>4385</v>
      </c>
      <c r="M14" s="39" t="n">
        <f aca="false">'Datos Fuente'!M14</f>
        <v>2215</v>
      </c>
      <c r="N14" s="39" t="n">
        <f aca="false">'Datos Fuente'!N14</f>
        <v>6740</v>
      </c>
      <c r="O14" s="39" t="n">
        <f aca="false">'Datos Fuente'!O14</f>
        <v>2760</v>
      </c>
      <c r="P14" s="39" t="n">
        <f aca="false">'Datos Fuente'!P14</f>
        <v>3105</v>
      </c>
      <c r="Q14" s="39" t="n">
        <f aca="false">'Datos Fuente'!Q14</f>
        <v>3450</v>
      </c>
      <c r="R14" s="39" t="n">
        <f aca="false">'Datos Fuente'!R14</f>
        <v>2150.71</v>
      </c>
      <c r="S14" s="39" t="n">
        <f aca="false">'Datos Fuente'!S14</f>
        <v>2305</v>
      </c>
      <c r="T14" s="39" t="n">
        <f aca="false">'Datos Fuente'!T14</f>
        <v>3065</v>
      </c>
      <c r="U14" s="39" t="n">
        <f aca="false">'Datos Fuente'!U14</f>
        <v>1965</v>
      </c>
    </row>
    <row r="15" customFormat="false" ht="15" hidden="false" customHeight="true" outlineLevel="0" collapsed="false">
      <c r="B15" s="38" t="s">
        <v>95</v>
      </c>
      <c r="C15" s="39" t="n">
        <f aca="false">'Datos Fuente'!C15</f>
        <v>0</v>
      </c>
      <c r="D15" s="39" t="n">
        <f aca="false">'Datos Fuente'!D15</f>
        <v>0</v>
      </c>
      <c r="E15" s="39" t="n">
        <f aca="false">'Datos Fuente'!E15</f>
        <v>0</v>
      </c>
      <c r="F15" s="39" t="n">
        <f aca="false">'Datos Fuente'!F15</f>
        <v>0</v>
      </c>
      <c r="G15" s="39" t="n">
        <f aca="false">'Datos Fuente'!G15</f>
        <v>0</v>
      </c>
      <c r="H15" s="39" t="n">
        <f aca="false">'Datos Fuente'!H15</f>
        <v>0</v>
      </c>
      <c r="I15" s="39" t="n">
        <f aca="false">'Datos Fuente'!I15</f>
        <v>0</v>
      </c>
      <c r="J15" s="39" t="n">
        <f aca="false">'Datos Fuente'!J15</f>
        <v>0</v>
      </c>
      <c r="K15" s="39" t="n">
        <f aca="false">'Datos Fuente'!K15</f>
        <v>0</v>
      </c>
      <c r="L15" s="39" t="n">
        <f aca="false">'Datos Fuente'!L15</f>
        <v>0</v>
      </c>
      <c r="M15" s="39" t="n">
        <f aca="false">'Datos Fuente'!M15</f>
        <v>0</v>
      </c>
      <c r="N15" s="39" t="n">
        <f aca="false">'Datos Fuente'!N15</f>
        <v>0</v>
      </c>
      <c r="O15" s="39" t="n">
        <f aca="false">'Datos Fuente'!O15</f>
        <v>0</v>
      </c>
      <c r="P15" s="39" t="n">
        <f aca="false">'Datos Fuente'!P15</f>
        <v>0</v>
      </c>
      <c r="Q15" s="39" t="n">
        <f aca="false">'Datos Fuente'!Q15</f>
        <v>700</v>
      </c>
      <c r="R15" s="39" t="n">
        <f aca="false">'Datos Fuente'!R15</f>
        <v>2100</v>
      </c>
      <c r="S15" s="39" t="n">
        <f aca="false">'Datos Fuente'!S15</f>
        <v>0</v>
      </c>
      <c r="T15" s="39" t="n">
        <f aca="false">'Datos Fuente'!T15</f>
        <v>350</v>
      </c>
      <c r="U15" s="39" t="n">
        <f aca="false">'Datos Fuente'!U15</f>
        <v>0</v>
      </c>
    </row>
    <row r="17" customFormat="false" ht="15" hidden="false" customHeight="true" outlineLevel="0" collapsed="false">
      <c r="B17" s="36" t="s">
        <v>96</v>
      </c>
      <c r="C17" s="37" t="n">
        <f aca="false">'Datos Fuente'!C19+'Datos Fuente'!C20+'Datos Fuente'!C21+'Datos Fuente'!C22+'Datos Fuente'!C23+'Datos Fuente'!C24+'Datos Fuente'!C25+'Datos Fuente'!C27+'Datos Fuente'!C28+'Datos Fuente'!C29+'Datos Fuente'!C30+'Datos Fuente'!C31+'Datos Fuente'!C32+'Datos Fuente'!C33+'Datos Fuente'!C34+'Datos Fuente'!C35+'Datos Fuente'!C36</f>
        <v>69866.26</v>
      </c>
      <c r="D17" s="37" t="n">
        <f aca="false">'Datos Fuente'!D19+'Datos Fuente'!D20+'Datos Fuente'!D21+'Datos Fuente'!D22+'Datos Fuente'!D23+'Datos Fuente'!D24+'Datos Fuente'!D25+'Datos Fuente'!D27+'Datos Fuente'!D28+'Datos Fuente'!D29+'Datos Fuente'!D30+'Datos Fuente'!D31+'Datos Fuente'!D32+'Datos Fuente'!D33+'Datos Fuente'!D34+'Datos Fuente'!D35+'Datos Fuente'!D36</f>
        <v>70283.43</v>
      </c>
      <c r="E17" s="37" t="n">
        <f aca="false">'Datos Fuente'!E19+'Datos Fuente'!E20+'Datos Fuente'!E21+'Datos Fuente'!E22+'Datos Fuente'!E23+'Datos Fuente'!E24+'Datos Fuente'!E25+'Datos Fuente'!E27+'Datos Fuente'!E28+'Datos Fuente'!E29+'Datos Fuente'!E30+'Datos Fuente'!E31+'Datos Fuente'!E32+'Datos Fuente'!E33+'Datos Fuente'!E34+'Datos Fuente'!E35+'Datos Fuente'!E36</f>
        <v>61744</v>
      </c>
      <c r="F17" s="37" t="n">
        <f aca="false">'Datos Fuente'!F19+'Datos Fuente'!F20+'Datos Fuente'!F21+'Datos Fuente'!F22+'Datos Fuente'!F23+'Datos Fuente'!F24+'Datos Fuente'!F25+'Datos Fuente'!F27+'Datos Fuente'!F28+'Datos Fuente'!F29+'Datos Fuente'!F30+'Datos Fuente'!F31+'Datos Fuente'!F32+'Datos Fuente'!F33+'Datos Fuente'!F34+'Datos Fuente'!F35+'Datos Fuente'!F36</f>
        <v>97791</v>
      </c>
      <c r="G17" s="37" t="n">
        <f aca="false">'Datos Fuente'!G19+'Datos Fuente'!G20+'Datos Fuente'!G21+'Datos Fuente'!G22+'Datos Fuente'!G23+'Datos Fuente'!G24+'Datos Fuente'!G25+'Datos Fuente'!G27+'Datos Fuente'!G28+'Datos Fuente'!G29+'Datos Fuente'!G30+'Datos Fuente'!G31+'Datos Fuente'!G32+'Datos Fuente'!G33+'Datos Fuente'!G34+'Datos Fuente'!G35+'Datos Fuente'!G36</f>
        <v>85287</v>
      </c>
      <c r="H17" s="37" t="n">
        <f aca="false">'Datos Fuente'!H19+'Datos Fuente'!H20+'Datos Fuente'!H21+'Datos Fuente'!H22+'Datos Fuente'!H23+'Datos Fuente'!H24+'Datos Fuente'!H25+'Datos Fuente'!H27+'Datos Fuente'!H28+'Datos Fuente'!H29+'Datos Fuente'!H30+'Datos Fuente'!H31+'Datos Fuente'!H32+'Datos Fuente'!H33+'Datos Fuente'!H34+'Datos Fuente'!H35+'Datos Fuente'!H36</f>
        <v>108268</v>
      </c>
      <c r="I17" s="37" t="n">
        <f aca="false">'Datos Fuente'!I19+'Datos Fuente'!I20+'Datos Fuente'!I21+'Datos Fuente'!I22+'Datos Fuente'!I23+'Datos Fuente'!I24+'Datos Fuente'!I25+'Datos Fuente'!I27+'Datos Fuente'!I28+'Datos Fuente'!I29+'Datos Fuente'!I30+'Datos Fuente'!I31+'Datos Fuente'!I32+'Datos Fuente'!I33+'Datos Fuente'!I34+'Datos Fuente'!I35+'Datos Fuente'!I36</f>
        <v>117575</v>
      </c>
      <c r="J17" s="37" t="n">
        <f aca="false">'Datos Fuente'!J19+'Datos Fuente'!J20+'Datos Fuente'!J21+'Datos Fuente'!J22+'Datos Fuente'!J23+'Datos Fuente'!J24+'Datos Fuente'!J25+'Datos Fuente'!J27+'Datos Fuente'!J28+'Datos Fuente'!J29+'Datos Fuente'!J30+'Datos Fuente'!J31+'Datos Fuente'!J32+'Datos Fuente'!J33+'Datos Fuente'!J34+'Datos Fuente'!J35+'Datos Fuente'!J36</f>
        <v>104841.5</v>
      </c>
      <c r="K17" s="37" t="n">
        <f aca="false">'Datos Fuente'!K19+'Datos Fuente'!K20+'Datos Fuente'!K21+'Datos Fuente'!K22+'Datos Fuente'!K23+'Datos Fuente'!K24+'Datos Fuente'!K25+'Datos Fuente'!K27+'Datos Fuente'!K28+'Datos Fuente'!K29+'Datos Fuente'!K30+'Datos Fuente'!K31+'Datos Fuente'!K32+'Datos Fuente'!K33+'Datos Fuente'!K34+'Datos Fuente'!K35+'Datos Fuente'!K36</f>
        <v>92211</v>
      </c>
      <c r="L17" s="37" t="n">
        <f aca="false">'Datos Fuente'!L19+'Datos Fuente'!L20+'Datos Fuente'!L21+'Datos Fuente'!L22+'Datos Fuente'!L23+'Datos Fuente'!L24+'Datos Fuente'!L25+'Datos Fuente'!L27+'Datos Fuente'!L28+'Datos Fuente'!L29+'Datos Fuente'!L30+'Datos Fuente'!L31+'Datos Fuente'!L32+'Datos Fuente'!L33+'Datos Fuente'!L34+'Datos Fuente'!L35+'Datos Fuente'!L36</f>
        <v>100512</v>
      </c>
      <c r="M17" s="37" t="n">
        <f aca="false">'Datos Fuente'!M19+'Datos Fuente'!M20+'Datos Fuente'!M21+'Datos Fuente'!M22+'Datos Fuente'!M23+'Datos Fuente'!M24+'Datos Fuente'!M25+'Datos Fuente'!M27+'Datos Fuente'!M28+'Datos Fuente'!M29+'Datos Fuente'!M30+'Datos Fuente'!M31+'Datos Fuente'!M32+'Datos Fuente'!M33+'Datos Fuente'!M34+'Datos Fuente'!M35+'Datos Fuente'!M36</f>
        <v>103722.67</v>
      </c>
      <c r="N17" s="37" t="n">
        <f aca="false">'Datos Fuente'!N19+'Datos Fuente'!N20+'Datos Fuente'!N21+'Datos Fuente'!N22+'Datos Fuente'!N23+'Datos Fuente'!N24+'Datos Fuente'!N25+'Datos Fuente'!N27+'Datos Fuente'!N28+'Datos Fuente'!N29+'Datos Fuente'!N30+'Datos Fuente'!N31+'Datos Fuente'!N32+'Datos Fuente'!N33+'Datos Fuente'!N34+'Datos Fuente'!N35+'Datos Fuente'!N36</f>
        <v>125156</v>
      </c>
      <c r="O17" s="37" t="n">
        <f aca="false">'Datos Fuente'!O19+'Datos Fuente'!O20+'Datos Fuente'!O21+'Datos Fuente'!O22+'Datos Fuente'!O23+'Datos Fuente'!O24+'Datos Fuente'!O25+'Datos Fuente'!O27+'Datos Fuente'!O28+'Datos Fuente'!O29+'Datos Fuente'!O30+'Datos Fuente'!O31+'Datos Fuente'!O32+'Datos Fuente'!O33+'Datos Fuente'!O34+'Datos Fuente'!O35+'Datos Fuente'!O36</f>
        <v>127995</v>
      </c>
      <c r="P17" s="37" t="n">
        <f aca="false">'Datos Fuente'!P19+'Datos Fuente'!P20+'Datos Fuente'!P21+'Datos Fuente'!P22+'Datos Fuente'!P23+'Datos Fuente'!P24+'Datos Fuente'!P25+'Datos Fuente'!P27+'Datos Fuente'!P28+'Datos Fuente'!P29+'Datos Fuente'!P30+'Datos Fuente'!P31+'Datos Fuente'!P32+'Datos Fuente'!P33+'Datos Fuente'!P34+'Datos Fuente'!P35+'Datos Fuente'!P36</f>
        <v>117091</v>
      </c>
      <c r="Q17" s="37" t="n">
        <f aca="false">'Datos Fuente'!Q19+'Datos Fuente'!Q20+'Datos Fuente'!Q21+'Datos Fuente'!Q22+'Datos Fuente'!Q23+'Datos Fuente'!Q24+'Datos Fuente'!Q25+'Datos Fuente'!Q27+'Datos Fuente'!Q28+'Datos Fuente'!Q29+'Datos Fuente'!Q30+'Datos Fuente'!Q31+'Datos Fuente'!Q32+'Datos Fuente'!Q33+'Datos Fuente'!Q34+'Datos Fuente'!Q35+'Datos Fuente'!Q36</f>
        <v>163362.24</v>
      </c>
      <c r="R17" s="37" t="n">
        <f aca="false">'Datos Fuente'!R19+'Datos Fuente'!R20+'Datos Fuente'!R21+'Datos Fuente'!R22+'Datos Fuente'!R23+'Datos Fuente'!R24+'Datos Fuente'!R25+'Datos Fuente'!R27+'Datos Fuente'!R28+'Datos Fuente'!R29+'Datos Fuente'!R30+'Datos Fuente'!R31+'Datos Fuente'!R32+'Datos Fuente'!R33+'Datos Fuente'!R34+'Datos Fuente'!R35+'Datos Fuente'!R36</f>
        <v>130119</v>
      </c>
      <c r="S17" s="37" t="n">
        <f aca="false">'Datos Fuente'!S19+'Datos Fuente'!S20+'Datos Fuente'!S21+'Datos Fuente'!S22+'Datos Fuente'!S23+'Datos Fuente'!S24+'Datos Fuente'!S25+'Datos Fuente'!S27+'Datos Fuente'!S28+'Datos Fuente'!S29+'Datos Fuente'!S30+'Datos Fuente'!S31+'Datos Fuente'!S32+'Datos Fuente'!S33+'Datos Fuente'!S34+'Datos Fuente'!S35+'Datos Fuente'!S36</f>
        <v>103696</v>
      </c>
      <c r="T17" s="37" t="n">
        <f aca="false">'Datos Fuente'!T19+'Datos Fuente'!T20+'Datos Fuente'!T21+'Datos Fuente'!T22+'Datos Fuente'!T23+'Datos Fuente'!T24+'Datos Fuente'!T25+'Datos Fuente'!T27+'Datos Fuente'!T28+'Datos Fuente'!T29+'Datos Fuente'!T30+'Datos Fuente'!T31+'Datos Fuente'!T32+'Datos Fuente'!T33+'Datos Fuente'!T34+'Datos Fuente'!T35+'Datos Fuente'!T36</f>
        <v>134275</v>
      </c>
      <c r="U17" s="37" t="n">
        <f aca="false">'Datos Fuente'!U19+'Datos Fuente'!U20+'Datos Fuente'!U21+'Datos Fuente'!U22+'Datos Fuente'!U23+'Datos Fuente'!U24+'Datos Fuente'!U25+'Datos Fuente'!U27+'Datos Fuente'!U28+'Datos Fuente'!U29+'Datos Fuente'!U30+'Datos Fuente'!U31+'Datos Fuente'!U32+'Datos Fuente'!U33+'Datos Fuente'!U34+'Datos Fuente'!U35+'Datos Fuente'!U36</f>
        <v>115858</v>
      </c>
    </row>
    <row r="18" customFormat="false" ht="15" hidden="false" customHeight="true" outlineLevel="0" collapsed="false">
      <c r="B18" s="38" t="s">
        <v>97</v>
      </c>
      <c r="C18" s="39" t="n">
        <f aca="false">'Datos Fuente'!C19</f>
        <v>0</v>
      </c>
      <c r="D18" s="39" t="n">
        <f aca="false">'Datos Fuente'!D19</f>
        <v>0</v>
      </c>
      <c r="E18" s="39" t="n">
        <f aca="false">'Datos Fuente'!E19</f>
        <v>0</v>
      </c>
      <c r="F18" s="39" t="n">
        <f aca="false">'Datos Fuente'!F19</f>
        <v>0</v>
      </c>
      <c r="G18" s="39" t="n">
        <f aca="false">'Datos Fuente'!G19</f>
        <v>0</v>
      </c>
      <c r="H18" s="39" t="n">
        <f aca="false">'Datos Fuente'!H19</f>
        <v>0</v>
      </c>
      <c r="I18" s="39" t="n">
        <f aca="false">'Datos Fuente'!I19</f>
        <v>0</v>
      </c>
      <c r="J18" s="39" t="n">
        <f aca="false">'Datos Fuente'!J19</f>
        <v>0</v>
      </c>
      <c r="K18" s="39" t="n">
        <f aca="false">'Datos Fuente'!K19</f>
        <v>0</v>
      </c>
      <c r="L18" s="39" t="n">
        <f aca="false">'Datos Fuente'!L19</f>
        <v>0</v>
      </c>
      <c r="M18" s="39" t="n">
        <f aca="false">'Datos Fuente'!M19</f>
        <v>0</v>
      </c>
      <c r="N18" s="39" t="n">
        <f aca="false">'Datos Fuente'!N19</f>
        <v>0</v>
      </c>
      <c r="O18" s="39" t="n">
        <f aca="false">'Datos Fuente'!O19</f>
        <v>0</v>
      </c>
      <c r="P18" s="39" t="n">
        <f aca="false">'Datos Fuente'!P19</f>
        <v>0</v>
      </c>
      <c r="Q18" s="39" t="n">
        <f aca="false">'Datos Fuente'!Q19</f>
        <v>65741.64</v>
      </c>
      <c r="R18" s="39" t="n">
        <f aca="false">'Datos Fuente'!R19</f>
        <v>9110</v>
      </c>
      <c r="S18" s="39" t="n">
        <f aca="false">'Datos Fuente'!S19</f>
        <v>0</v>
      </c>
      <c r="T18" s="39" t="n">
        <f aca="false">'Datos Fuente'!T19</f>
        <v>0</v>
      </c>
      <c r="U18" s="39" t="n">
        <f aca="false">'Datos Fuente'!U19</f>
        <v>0</v>
      </c>
    </row>
    <row r="19" customFormat="false" ht="15" hidden="false" customHeight="true" outlineLevel="0" collapsed="false">
      <c r="B19" s="38" t="s">
        <v>98</v>
      </c>
      <c r="C19" s="39" t="n">
        <f aca="false">'Datos Fuente'!C20</f>
        <v>0</v>
      </c>
      <c r="D19" s="39" t="n">
        <f aca="false">'Datos Fuente'!D20</f>
        <v>0</v>
      </c>
      <c r="E19" s="39" t="n">
        <f aca="false">'Datos Fuente'!E20</f>
        <v>0</v>
      </c>
      <c r="F19" s="39" t="n">
        <f aca="false">'Datos Fuente'!F20</f>
        <v>0</v>
      </c>
      <c r="G19" s="39" t="n">
        <f aca="false">'Datos Fuente'!G20</f>
        <v>0</v>
      </c>
      <c r="H19" s="39" t="n">
        <f aca="false">'Datos Fuente'!H20</f>
        <v>0</v>
      </c>
      <c r="I19" s="39" t="n">
        <f aca="false">'Datos Fuente'!I20</f>
        <v>0</v>
      </c>
      <c r="J19" s="39" t="n">
        <f aca="false">'Datos Fuente'!J20</f>
        <v>0</v>
      </c>
      <c r="K19" s="39" t="n">
        <f aca="false">'Datos Fuente'!K20</f>
        <v>0</v>
      </c>
      <c r="L19" s="39" t="n">
        <f aca="false">'Datos Fuente'!L20</f>
        <v>0</v>
      </c>
      <c r="M19" s="39" t="n">
        <f aca="false">'Datos Fuente'!M20</f>
        <v>0</v>
      </c>
      <c r="N19" s="39" t="n">
        <f aca="false">'Datos Fuente'!N20</f>
        <v>0</v>
      </c>
      <c r="O19" s="39" t="n">
        <f aca="false">'Datos Fuente'!O20</f>
        <v>0</v>
      </c>
      <c r="P19" s="39" t="n">
        <f aca="false">'Datos Fuente'!P20</f>
        <v>0</v>
      </c>
      <c r="Q19" s="39" t="n">
        <f aca="false">'Datos Fuente'!Q20</f>
        <v>1120</v>
      </c>
      <c r="R19" s="39" t="n">
        <f aca="false">'Datos Fuente'!R20</f>
        <v>2720</v>
      </c>
      <c r="S19" s="39" t="n">
        <f aca="false">'Datos Fuente'!S20</f>
        <v>805</v>
      </c>
      <c r="T19" s="39" t="n">
        <f aca="false">'Datos Fuente'!T20</f>
        <v>745</v>
      </c>
      <c r="U19" s="39" t="n">
        <f aca="false">'Datos Fuente'!U20</f>
        <v>500</v>
      </c>
    </row>
    <row r="20" customFormat="false" ht="15" hidden="false" customHeight="true" outlineLevel="0" collapsed="false">
      <c r="B20" s="38" t="s">
        <v>99</v>
      </c>
      <c r="C20" s="39" t="n">
        <f aca="false">'Datos Fuente'!C21</f>
        <v>0</v>
      </c>
      <c r="D20" s="39" t="n">
        <f aca="false">'Datos Fuente'!D21</f>
        <v>18800</v>
      </c>
      <c r="E20" s="39" t="n">
        <f aca="false">'Datos Fuente'!E21</f>
        <v>0</v>
      </c>
      <c r="F20" s="39" t="n">
        <f aca="false">'Datos Fuente'!F21</f>
        <v>0</v>
      </c>
      <c r="G20" s="39" t="n">
        <f aca="false">'Datos Fuente'!G21</f>
        <v>0</v>
      </c>
      <c r="H20" s="39" t="n">
        <f aca="false">'Datos Fuente'!H21</f>
        <v>19080</v>
      </c>
      <c r="I20" s="39" t="n">
        <f aca="false">'Datos Fuente'!I21</f>
        <v>31080</v>
      </c>
      <c r="J20" s="39" t="n">
        <f aca="false">'Datos Fuente'!J21</f>
        <v>0</v>
      </c>
      <c r="K20" s="39" t="n">
        <f aca="false">'Datos Fuente'!K21</f>
        <v>0</v>
      </c>
      <c r="L20" s="39" t="n">
        <f aca="false">'Datos Fuente'!L21</f>
        <v>0</v>
      </c>
      <c r="M20" s="39" t="n">
        <f aca="false">'Datos Fuente'!M21</f>
        <v>0</v>
      </c>
      <c r="N20" s="39" t="n">
        <f aca="false">'Datos Fuente'!N21</f>
        <v>0</v>
      </c>
      <c r="O20" s="39" t="n">
        <f aca="false">'Datos Fuente'!O21</f>
        <v>0</v>
      </c>
      <c r="P20" s="39" t="n">
        <f aca="false">'Datos Fuente'!P21</f>
        <v>0</v>
      </c>
      <c r="Q20" s="39" t="n">
        <f aca="false">'Datos Fuente'!Q21</f>
        <v>0</v>
      </c>
      <c r="R20" s="39" t="n">
        <f aca="false">'Datos Fuente'!R21</f>
        <v>0</v>
      </c>
      <c r="S20" s="39" t="n">
        <f aca="false">'Datos Fuente'!S21</f>
        <v>0</v>
      </c>
      <c r="T20" s="39" t="n">
        <f aca="false">'Datos Fuente'!T21</f>
        <v>0</v>
      </c>
      <c r="U20" s="39" t="n">
        <f aca="false">'Datos Fuente'!U21</f>
        <v>0</v>
      </c>
    </row>
    <row r="21" customFormat="false" ht="15" hidden="false" customHeight="true" outlineLevel="0" collapsed="false">
      <c r="B21" s="38" t="s">
        <v>100</v>
      </c>
      <c r="C21" s="39" t="n">
        <f aca="false">'Datos Fuente'!C22</f>
        <v>0</v>
      </c>
      <c r="D21" s="39" t="n">
        <f aca="false">'Datos Fuente'!D22</f>
        <v>0</v>
      </c>
      <c r="E21" s="39" t="n">
        <f aca="false">'Datos Fuente'!E22</f>
        <v>0</v>
      </c>
      <c r="F21" s="39" t="n">
        <f aca="false">'Datos Fuente'!F22</f>
        <v>0</v>
      </c>
      <c r="G21" s="39" t="n">
        <f aca="false">'Datos Fuente'!G22</f>
        <v>0</v>
      </c>
      <c r="H21" s="39" t="n">
        <f aca="false">'Datos Fuente'!H22</f>
        <v>0</v>
      </c>
      <c r="I21" s="39" t="n">
        <f aca="false">'Datos Fuente'!I22</f>
        <v>0</v>
      </c>
      <c r="J21" s="39" t="n">
        <f aca="false">'Datos Fuente'!J22</f>
        <v>5220</v>
      </c>
      <c r="K21" s="39" t="n">
        <f aca="false">'Datos Fuente'!K22</f>
        <v>5220</v>
      </c>
      <c r="L21" s="39" t="n">
        <f aca="false">'Datos Fuente'!L22</f>
        <v>5220</v>
      </c>
      <c r="M21" s="39" t="n">
        <f aca="false">'Datos Fuente'!M22</f>
        <v>5220</v>
      </c>
      <c r="N21" s="39" t="n">
        <f aca="false">'Datos Fuente'!N22</f>
        <v>5220</v>
      </c>
      <c r="O21" s="39" t="n">
        <f aca="false">'Datos Fuente'!O22</f>
        <v>5220</v>
      </c>
      <c r="P21" s="39" t="n">
        <f aca="false">'Datos Fuente'!P22</f>
        <v>5220</v>
      </c>
      <c r="Q21" s="39" t="n">
        <f aca="false">'Datos Fuente'!Q22</f>
        <v>5220</v>
      </c>
      <c r="R21" s="39" t="n">
        <f aca="false">'Datos Fuente'!R22</f>
        <v>0</v>
      </c>
      <c r="S21" s="39" t="n">
        <f aca="false">'Datos Fuente'!S22</f>
        <v>0</v>
      </c>
      <c r="T21" s="39" t="n">
        <f aca="false">'Datos Fuente'!T22</f>
        <v>7100</v>
      </c>
      <c r="U21" s="39" t="n">
        <f aca="false">'Datos Fuente'!U22</f>
        <v>6960</v>
      </c>
    </row>
    <row r="22" customFormat="false" ht="15" hidden="false" customHeight="true" outlineLevel="0" collapsed="false">
      <c r="B22" s="38" t="s">
        <v>101</v>
      </c>
      <c r="C22" s="39" t="n">
        <f aca="false">'Datos Fuente'!C23</f>
        <v>0</v>
      </c>
      <c r="D22" s="39" t="n">
        <f aca="false">'Datos Fuente'!D23</f>
        <v>2160</v>
      </c>
      <c r="E22" s="39" t="n">
        <f aca="false">'Datos Fuente'!E23</f>
        <v>2340</v>
      </c>
      <c r="F22" s="39" t="n">
        <f aca="false">'Datos Fuente'!F23</f>
        <v>2160</v>
      </c>
      <c r="G22" s="39" t="n">
        <f aca="false">'Datos Fuente'!G23</f>
        <v>2340</v>
      </c>
      <c r="H22" s="39" t="n">
        <f aca="false">'Datos Fuente'!H23</f>
        <v>2340</v>
      </c>
      <c r="I22" s="39" t="n">
        <f aca="false">'Datos Fuente'!I23</f>
        <v>2340</v>
      </c>
      <c r="J22" s="39" t="n">
        <f aca="false">'Datos Fuente'!J23</f>
        <v>2340</v>
      </c>
      <c r="K22" s="39" t="n">
        <f aca="false">'Datos Fuente'!K23</f>
        <v>2340</v>
      </c>
      <c r="L22" s="39" t="n">
        <f aca="false">'Datos Fuente'!L23</f>
        <v>2340</v>
      </c>
      <c r="M22" s="39" t="n">
        <f aca="false">'Datos Fuente'!M23</f>
        <v>2340</v>
      </c>
      <c r="N22" s="39" t="n">
        <f aca="false">'Datos Fuente'!N23</f>
        <v>2340</v>
      </c>
      <c r="O22" s="39" t="n">
        <f aca="false">'Datos Fuente'!O23</f>
        <v>2340</v>
      </c>
      <c r="P22" s="39" t="n">
        <f aca="false">'Datos Fuente'!P23</f>
        <v>2340</v>
      </c>
      <c r="Q22" s="39" t="n">
        <f aca="false">'Datos Fuente'!Q23</f>
        <v>1799.1</v>
      </c>
      <c r="R22" s="39" t="n">
        <f aca="false">'Datos Fuente'!R23</f>
        <v>0</v>
      </c>
      <c r="S22" s="39" t="n">
        <f aca="false">'Datos Fuente'!S23</f>
        <v>0</v>
      </c>
      <c r="T22" s="39" t="n">
        <f aca="false">'Datos Fuente'!T23</f>
        <v>0</v>
      </c>
      <c r="U22" s="39" t="n">
        <f aca="false">'Datos Fuente'!U23</f>
        <v>0</v>
      </c>
    </row>
    <row r="23" customFormat="false" ht="15" hidden="false" customHeight="true" outlineLevel="0" collapsed="false">
      <c r="B23" s="38" t="s">
        <v>102</v>
      </c>
      <c r="C23" s="39" t="n">
        <f aca="false">'Datos Fuente'!C24</f>
        <v>11305.26</v>
      </c>
      <c r="D23" s="39" t="n">
        <f aca="false">'Datos Fuente'!D24</f>
        <v>10793.43</v>
      </c>
      <c r="E23" s="39" t="n">
        <f aca="false">'Datos Fuente'!E24</f>
        <v>9633</v>
      </c>
      <c r="F23" s="39" t="n">
        <f aca="false">'Datos Fuente'!F24</f>
        <v>19758</v>
      </c>
      <c r="G23" s="39" t="n">
        <f aca="false">'Datos Fuente'!G24</f>
        <v>19792</v>
      </c>
      <c r="H23" s="39" t="n">
        <f aca="false">'Datos Fuente'!H24</f>
        <v>19784</v>
      </c>
      <c r="I23" s="39" t="n">
        <f aca="false">'Datos Fuente'!I24</f>
        <v>17203</v>
      </c>
      <c r="J23" s="39" t="n">
        <f aca="false">'Datos Fuente'!J24</f>
        <v>21260</v>
      </c>
      <c r="K23" s="39" t="n">
        <f aca="false">'Datos Fuente'!K24</f>
        <v>25615</v>
      </c>
      <c r="L23" s="39" t="n">
        <f aca="false">'Datos Fuente'!L24</f>
        <v>21971</v>
      </c>
      <c r="M23" s="39" t="n">
        <f aca="false">'Datos Fuente'!M24</f>
        <v>22536.42</v>
      </c>
      <c r="N23" s="39" t="n">
        <f aca="false">'Datos Fuente'!N24</f>
        <v>24617</v>
      </c>
      <c r="O23" s="39" t="n">
        <f aca="false">'Datos Fuente'!O24</f>
        <v>23816</v>
      </c>
      <c r="P23" s="39" t="n">
        <f aca="false">'Datos Fuente'!P24</f>
        <v>22449</v>
      </c>
      <c r="Q23" s="39" t="n">
        <f aca="false">'Datos Fuente'!Q24</f>
        <v>19619</v>
      </c>
      <c r="R23" s="39" t="n">
        <f aca="false">'Datos Fuente'!R24</f>
        <v>20739</v>
      </c>
      <c r="S23" s="39" t="n">
        <f aca="false">'Datos Fuente'!S24</f>
        <v>9921</v>
      </c>
      <c r="T23" s="39" t="n">
        <f aca="false">'Datos Fuente'!T24</f>
        <v>23177</v>
      </c>
      <c r="U23" s="39" t="n">
        <f aca="false">'Datos Fuente'!U24</f>
        <v>22888</v>
      </c>
    </row>
    <row r="24" customFormat="false" ht="15" hidden="false" customHeight="true" outlineLevel="0" collapsed="false">
      <c r="B24" s="38" t="s">
        <v>103</v>
      </c>
      <c r="C24" s="39" t="n">
        <f aca="false">'Datos Fuente'!C25</f>
        <v>17000</v>
      </c>
      <c r="D24" s="39" t="n">
        <f aca="false">'Datos Fuente'!D25</f>
        <v>17000</v>
      </c>
      <c r="E24" s="39" t="n">
        <f aca="false">'Datos Fuente'!E25</f>
        <v>17000</v>
      </c>
      <c r="F24" s="39" t="n">
        <f aca="false">'Datos Fuente'!F25</f>
        <v>27000</v>
      </c>
      <c r="G24" s="39" t="n">
        <f aca="false">'Datos Fuente'!G25</f>
        <v>28900</v>
      </c>
      <c r="H24" s="39" t="n">
        <f aca="false">'Datos Fuente'!H25</f>
        <v>27000</v>
      </c>
      <c r="I24" s="39" t="n">
        <f aca="false">'Datos Fuente'!I25</f>
        <v>29500</v>
      </c>
      <c r="J24" s="39" t="n">
        <f aca="false">'Datos Fuente'!J25</f>
        <v>18500</v>
      </c>
      <c r="K24" s="39" t="n">
        <f aca="false">'Datos Fuente'!K25</f>
        <v>23000</v>
      </c>
      <c r="L24" s="39" t="n">
        <f aca="false">'Datos Fuente'!L25</f>
        <v>39000</v>
      </c>
      <c r="M24" s="39" t="n">
        <f aca="false">'Datos Fuente'!M25</f>
        <v>36050</v>
      </c>
      <c r="N24" s="39" t="n">
        <f aca="false">'Datos Fuente'!N25</f>
        <v>24050</v>
      </c>
      <c r="O24" s="39" t="n">
        <f aca="false">'Datos Fuente'!O25</f>
        <v>24200</v>
      </c>
      <c r="P24" s="39" t="n">
        <f aca="false">'Datos Fuente'!P25</f>
        <v>30398</v>
      </c>
      <c r="Q24" s="39" t="n">
        <f aca="false">'Datos Fuente'!Q25</f>
        <v>20800</v>
      </c>
      <c r="R24" s="39" t="n">
        <f aca="false">'Datos Fuente'!R25</f>
        <v>20720</v>
      </c>
      <c r="S24" s="39" t="n">
        <f aca="false">'Datos Fuente'!S25</f>
        <v>24060</v>
      </c>
      <c r="T24" s="39" t="n">
        <f aca="false">'Datos Fuente'!T25</f>
        <v>30610</v>
      </c>
      <c r="U24" s="39" t="n">
        <f aca="false">'Datos Fuente'!U25</f>
        <v>21750</v>
      </c>
    </row>
    <row r="25" customFormat="false" ht="15" hidden="false" customHeight="true" outlineLevel="0" collapsed="false">
      <c r="B25" s="38" t="s">
        <v>104</v>
      </c>
      <c r="C25" s="39" t="n">
        <f aca="false">'Datos Fuente'!C27</f>
        <v>6543</v>
      </c>
      <c r="D25" s="39" t="n">
        <f aca="false">'Datos Fuente'!D27</f>
        <v>6689</v>
      </c>
      <c r="E25" s="39" t="n">
        <f aca="false">'Datos Fuente'!E27</f>
        <v>10604</v>
      </c>
      <c r="F25" s="39" t="n">
        <f aca="false">'Datos Fuente'!F27</f>
        <v>28190</v>
      </c>
      <c r="G25" s="39" t="n">
        <f aca="false">'Datos Fuente'!G27</f>
        <v>21448</v>
      </c>
      <c r="H25" s="39" t="n">
        <f aca="false">'Datos Fuente'!H27</f>
        <v>17261</v>
      </c>
      <c r="I25" s="39" t="n">
        <f aca="false">'Datos Fuente'!I27</f>
        <v>19838</v>
      </c>
      <c r="J25" s="39" t="n">
        <f aca="false">'Datos Fuente'!J27</f>
        <v>14760</v>
      </c>
      <c r="K25" s="39" t="n">
        <f aca="false">'Datos Fuente'!K27</f>
        <v>12717</v>
      </c>
      <c r="L25" s="39" t="n">
        <f aca="false">'Datos Fuente'!L27</f>
        <v>7124</v>
      </c>
      <c r="M25" s="39" t="n">
        <f aca="false">'Datos Fuente'!M27</f>
        <v>6685</v>
      </c>
      <c r="N25" s="39" t="n">
        <f aca="false">'Datos Fuente'!N27</f>
        <v>23659</v>
      </c>
      <c r="O25" s="39" t="n">
        <f aca="false">'Datos Fuente'!O27</f>
        <v>21083</v>
      </c>
      <c r="P25" s="39" t="n">
        <f aca="false">'Datos Fuente'!P27</f>
        <v>15306</v>
      </c>
      <c r="Q25" s="39" t="n">
        <f aca="false">'Datos Fuente'!Q27</f>
        <v>0</v>
      </c>
      <c r="R25" s="39" t="n">
        <f aca="false">'Datos Fuente'!R27</f>
        <v>0</v>
      </c>
      <c r="S25" s="39" t="n">
        <f aca="false">'Datos Fuente'!S27</f>
        <v>0</v>
      </c>
      <c r="T25" s="39" t="n">
        <f aca="false">'Datos Fuente'!T27</f>
        <v>0</v>
      </c>
      <c r="U25" s="39" t="n">
        <f aca="false">'Datos Fuente'!U27</f>
        <v>0</v>
      </c>
    </row>
    <row r="26" customFormat="false" ht="15" hidden="false" customHeight="true" outlineLevel="0" collapsed="false">
      <c r="B26" s="38" t="s">
        <v>105</v>
      </c>
      <c r="C26" s="39" t="n">
        <f aca="false">'Datos Fuente'!C28</f>
        <v>0</v>
      </c>
      <c r="D26" s="39" t="n">
        <f aca="false">'Datos Fuente'!D28</f>
        <v>0</v>
      </c>
      <c r="E26" s="39" t="n">
        <f aca="false">'Datos Fuente'!E28</f>
        <v>0</v>
      </c>
      <c r="F26" s="39" t="n">
        <f aca="false">'Datos Fuente'!F28</f>
        <v>0</v>
      </c>
      <c r="G26" s="39" t="n">
        <f aca="false">'Datos Fuente'!G28</f>
        <v>0</v>
      </c>
      <c r="H26" s="39" t="n">
        <f aca="false">'Datos Fuente'!H28</f>
        <v>0</v>
      </c>
      <c r="I26" s="39" t="n">
        <f aca="false">'Datos Fuente'!I28</f>
        <v>0</v>
      </c>
      <c r="J26" s="39" t="n">
        <f aca="false">'Datos Fuente'!J28</f>
        <v>0</v>
      </c>
      <c r="K26" s="39" t="n">
        <f aca="false">'Datos Fuente'!K28</f>
        <v>0</v>
      </c>
      <c r="L26" s="39" t="n">
        <f aca="false">'Datos Fuente'!L28</f>
        <v>0</v>
      </c>
      <c r="M26" s="39" t="n">
        <f aca="false">'Datos Fuente'!M28</f>
        <v>0</v>
      </c>
      <c r="N26" s="39" t="n">
        <f aca="false">'Datos Fuente'!N28</f>
        <v>0</v>
      </c>
      <c r="O26" s="39" t="n">
        <f aca="false">'Datos Fuente'!O28</f>
        <v>0</v>
      </c>
      <c r="P26" s="39" t="n">
        <f aca="false">'Datos Fuente'!P28</f>
        <v>0</v>
      </c>
      <c r="Q26" s="39" t="n">
        <f aca="false">'Datos Fuente'!Q28</f>
        <v>6639.8</v>
      </c>
      <c r="R26" s="39" t="n">
        <f aca="false">'Datos Fuente'!R28</f>
        <v>8063</v>
      </c>
      <c r="S26" s="39" t="n">
        <f aca="false">'Datos Fuente'!S28</f>
        <v>8241</v>
      </c>
      <c r="T26" s="39" t="n">
        <f aca="false">'Datos Fuente'!T28</f>
        <v>1751</v>
      </c>
      <c r="U26" s="39" t="n">
        <f aca="false">'Datos Fuente'!U28</f>
        <v>3113</v>
      </c>
    </row>
    <row r="27" customFormat="false" ht="15" hidden="false" customHeight="true" outlineLevel="0" collapsed="false">
      <c r="B27" s="38" t="s">
        <v>106</v>
      </c>
      <c r="C27" s="39" t="n">
        <f aca="false">'Datos Fuente'!C29</f>
        <v>2800</v>
      </c>
      <c r="D27" s="39" t="n">
        <f aca="false">'Datos Fuente'!D29</f>
        <v>2700</v>
      </c>
      <c r="E27" s="39" t="n">
        <f aca="false">'Datos Fuente'!E29</f>
        <v>2800</v>
      </c>
      <c r="F27" s="39" t="n">
        <f aca="false">'Datos Fuente'!F29</f>
        <v>2800</v>
      </c>
      <c r="G27" s="39" t="n">
        <f aca="false">'Datos Fuente'!G29</f>
        <v>2800</v>
      </c>
      <c r="H27" s="39" t="n">
        <f aca="false">'Datos Fuente'!H29</f>
        <v>2800</v>
      </c>
      <c r="I27" s="39" t="n">
        <f aca="false">'Datos Fuente'!I29</f>
        <v>3150</v>
      </c>
      <c r="J27" s="39" t="n">
        <f aca="false">'Datos Fuente'!J29</f>
        <v>2800</v>
      </c>
      <c r="K27" s="39" t="n">
        <f aca="false">'Datos Fuente'!K29</f>
        <v>3500</v>
      </c>
      <c r="L27" s="39" t="n">
        <f aca="false">'Datos Fuente'!L29</f>
        <v>2800</v>
      </c>
      <c r="M27" s="39" t="n">
        <f aca="false">'Datos Fuente'!M29</f>
        <v>3150</v>
      </c>
      <c r="N27" s="39" t="n">
        <f aca="false">'Datos Fuente'!N29</f>
        <v>3500</v>
      </c>
      <c r="O27" s="39" t="n">
        <f aca="false">'Datos Fuente'!O29</f>
        <v>2800</v>
      </c>
      <c r="P27" s="39" t="n">
        <f aca="false">'Datos Fuente'!P29</f>
        <v>3150</v>
      </c>
      <c r="Q27" s="39" t="n">
        <f aca="false">'Datos Fuente'!Q29</f>
        <v>2450</v>
      </c>
      <c r="R27" s="39" t="n">
        <f aca="false">'Datos Fuente'!R29</f>
        <v>2220</v>
      </c>
      <c r="S27" s="39" t="n">
        <f aca="false">'Datos Fuente'!S29</f>
        <v>2660</v>
      </c>
      <c r="T27" s="39" t="n">
        <f aca="false">'Datos Fuente'!T29</f>
        <v>3040</v>
      </c>
      <c r="U27" s="39" t="n">
        <f aca="false">'Datos Fuente'!U29</f>
        <v>2340</v>
      </c>
    </row>
    <row r="28" customFormat="false" ht="15" hidden="false" customHeight="true" outlineLevel="0" collapsed="false">
      <c r="B28" s="38" t="s">
        <v>107</v>
      </c>
      <c r="C28" s="39" t="n">
        <f aca="false">'Datos Fuente'!C30</f>
        <v>16753</v>
      </c>
      <c r="D28" s="39" t="n">
        <f aca="false">'Datos Fuente'!D30</f>
        <v>4780</v>
      </c>
      <c r="E28" s="39" t="n">
        <f aca="false">'Datos Fuente'!E30</f>
        <v>11540</v>
      </c>
      <c r="F28" s="39" t="n">
        <f aca="false">'Datos Fuente'!F30</f>
        <v>5731</v>
      </c>
      <c r="G28" s="39" t="n">
        <f aca="false">'Datos Fuente'!G30</f>
        <v>0</v>
      </c>
      <c r="H28" s="39" t="n">
        <f aca="false">'Datos Fuente'!H30</f>
        <v>539</v>
      </c>
      <c r="I28" s="39" t="n">
        <f aca="false">'Datos Fuente'!I30</f>
        <v>1400</v>
      </c>
      <c r="J28" s="39" t="n">
        <f aca="false">'Datos Fuente'!J30</f>
        <v>9000</v>
      </c>
      <c r="K28" s="39" t="n">
        <f aca="false">'Datos Fuente'!K30</f>
        <v>1250</v>
      </c>
      <c r="L28" s="39" t="n">
        <f aca="false">'Datos Fuente'!L30</f>
        <v>1960</v>
      </c>
      <c r="M28" s="39" t="n">
        <f aca="false">'Datos Fuente'!M30</f>
        <v>2395</v>
      </c>
      <c r="N28" s="39" t="n">
        <f aca="false">'Datos Fuente'!N30</f>
        <v>9140</v>
      </c>
      <c r="O28" s="39" t="n">
        <f aca="false">'Datos Fuente'!O30</f>
        <v>26762</v>
      </c>
      <c r="P28" s="39" t="n">
        <f aca="false">'Datos Fuente'!P30</f>
        <v>4251</v>
      </c>
      <c r="Q28" s="39" t="n">
        <f aca="false">'Datos Fuente'!Q30</f>
        <v>14771</v>
      </c>
      <c r="R28" s="39" t="n">
        <f aca="false">'Datos Fuente'!R30</f>
        <v>862</v>
      </c>
      <c r="S28" s="39" t="n">
        <f aca="false">'Datos Fuente'!S30</f>
        <v>5000</v>
      </c>
      <c r="T28" s="39" t="n">
        <f aca="false">'Datos Fuente'!T30</f>
        <v>2160</v>
      </c>
      <c r="U28" s="39" t="n">
        <f aca="false">'Datos Fuente'!U30</f>
        <v>5221</v>
      </c>
    </row>
    <row r="29" customFormat="false" ht="15" hidden="false" customHeight="true" outlineLevel="0" collapsed="false">
      <c r="B29" s="38" t="s">
        <v>108</v>
      </c>
      <c r="C29" s="39" t="n">
        <f aca="false">'Datos Fuente'!C31</f>
        <v>0</v>
      </c>
      <c r="D29" s="39" t="n">
        <f aca="false">'Datos Fuente'!D31</f>
        <v>0</v>
      </c>
      <c r="E29" s="39" t="n">
        <f aca="false">'Datos Fuente'!E31</f>
        <v>0</v>
      </c>
      <c r="F29" s="39" t="n">
        <f aca="false">'Datos Fuente'!F31</f>
        <v>0</v>
      </c>
      <c r="G29" s="39" t="n">
        <f aca="false">'Datos Fuente'!G31</f>
        <v>0</v>
      </c>
      <c r="H29" s="39" t="n">
        <f aca="false">'Datos Fuente'!H31</f>
        <v>0</v>
      </c>
      <c r="I29" s="39" t="n">
        <f aca="false">'Datos Fuente'!I31</f>
        <v>0</v>
      </c>
      <c r="J29" s="39" t="n">
        <f aca="false">'Datos Fuente'!J31</f>
        <v>0</v>
      </c>
      <c r="K29" s="39" t="n">
        <f aca="false">'Datos Fuente'!K31</f>
        <v>0</v>
      </c>
      <c r="L29" s="39" t="n">
        <f aca="false">'Datos Fuente'!L31</f>
        <v>0</v>
      </c>
      <c r="M29" s="39" t="n">
        <f aca="false">'Datos Fuente'!M31</f>
        <v>0</v>
      </c>
      <c r="N29" s="39" t="n">
        <f aca="false">'Datos Fuente'!N31</f>
        <v>0</v>
      </c>
      <c r="O29" s="39" t="n">
        <f aca="false">'Datos Fuente'!O31</f>
        <v>0</v>
      </c>
      <c r="P29" s="39" t="n">
        <f aca="false">'Datos Fuente'!P31</f>
        <v>0</v>
      </c>
      <c r="Q29" s="39" t="n">
        <f aca="false">'Datos Fuente'!Q31</f>
        <v>423.7</v>
      </c>
      <c r="R29" s="39" t="n">
        <f aca="false">'Datos Fuente'!R31</f>
        <v>6012</v>
      </c>
      <c r="S29" s="39" t="n">
        <f aca="false">'Datos Fuente'!S31</f>
        <v>5187</v>
      </c>
      <c r="T29" s="39" t="n">
        <f aca="false">'Datos Fuente'!T31</f>
        <v>3091</v>
      </c>
      <c r="U29" s="39" t="n">
        <f aca="false">'Datos Fuente'!U31</f>
        <v>0</v>
      </c>
    </row>
    <row r="30" customFormat="false" ht="15" hidden="false" customHeight="true" outlineLevel="0" collapsed="false">
      <c r="B30" s="38" t="s">
        <v>109</v>
      </c>
      <c r="C30" s="39" t="n">
        <f aca="false">'Datos Fuente'!C32</f>
        <v>0</v>
      </c>
      <c r="D30" s="39" t="n">
        <f aca="false">'Datos Fuente'!D32</f>
        <v>0</v>
      </c>
      <c r="E30" s="39" t="n">
        <f aca="false">'Datos Fuente'!E32</f>
        <v>0</v>
      </c>
      <c r="F30" s="39" t="n">
        <f aca="false">'Datos Fuente'!F32</f>
        <v>0</v>
      </c>
      <c r="G30" s="39" t="n">
        <f aca="false">'Datos Fuente'!G32</f>
        <v>0</v>
      </c>
      <c r="H30" s="39" t="n">
        <f aca="false">'Datos Fuente'!H32</f>
        <v>0</v>
      </c>
      <c r="I30" s="39" t="n">
        <f aca="false">'Datos Fuente'!I32</f>
        <v>0</v>
      </c>
      <c r="J30" s="39" t="n">
        <f aca="false">'Datos Fuente'!J32</f>
        <v>0</v>
      </c>
      <c r="K30" s="39" t="n">
        <f aca="false">'Datos Fuente'!K32</f>
        <v>0</v>
      </c>
      <c r="L30" s="39" t="n">
        <f aca="false">'Datos Fuente'!L32</f>
        <v>0</v>
      </c>
      <c r="M30" s="39" t="n">
        <f aca="false">'Datos Fuente'!M32</f>
        <v>0</v>
      </c>
      <c r="N30" s="39" t="n">
        <f aca="false">'Datos Fuente'!N32</f>
        <v>0</v>
      </c>
      <c r="O30" s="39" t="n">
        <f aca="false">'Datos Fuente'!O32</f>
        <v>0</v>
      </c>
      <c r="P30" s="39" t="n">
        <f aca="false">'Datos Fuente'!P32</f>
        <v>0</v>
      </c>
      <c r="Q30" s="39" t="n">
        <f aca="false">'Datos Fuente'!Q32</f>
        <v>1279</v>
      </c>
      <c r="R30" s="39" t="n">
        <f aca="false">'Datos Fuente'!R32</f>
        <v>8359</v>
      </c>
      <c r="S30" s="39" t="n">
        <f aca="false">'Datos Fuente'!S32</f>
        <v>1478</v>
      </c>
      <c r="T30" s="39" t="n">
        <f aca="false">'Datos Fuente'!T32</f>
        <v>0</v>
      </c>
      <c r="U30" s="39" t="n">
        <f aca="false">'Datos Fuente'!U32</f>
        <v>0</v>
      </c>
    </row>
    <row r="31" customFormat="false" ht="15" hidden="false" customHeight="true" outlineLevel="0" collapsed="false">
      <c r="B31" s="38" t="s">
        <v>110</v>
      </c>
      <c r="C31" s="39" t="n">
        <f aca="false">'Datos Fuente'!C33</f>
        <v>11900</v>
      </c>
      <c r="D31" s="39" t="n">
        <f aca="false">'Datos Fuente'!D33</f>
        <v>792</v>
      </c>
      <c r="E31" s="39" t="n">
        <f aca="false">'Datos Fuente'!E33</f>
        <v>4356</v>
      </c>
      <c r="F31" s="39" t="n">
        <f aca="false">'Datos Fuente'!F33</f>
        <v>10296</v>
      </c>
      <c r="G31" s="39" t="n">
        <f aca="false">'Datos Fuente'!G33</f>
        <v>8745</v>
      </c>
      <c r="H31" s="39" t="n">
        <f aca="false">'Datos Fuente'!H33</f>
        <v>10032</v>
      </c>
      <c r="I31" s="39" t="n">
        <f aca="false">'Datos Fuente'!I33</f>
        <v>8778</v>
      </c>
      <c r="J31" s="39" t="n">
        <f aca="false">'Datos Fuente'!J33</f>
        <v>11995.5</v>
      </c>
      <c r="K31" s="39" t="n">
        <f aca="false">'Datos Fuente'!K33</f>
        <v>16665</v>
      </c>
      <c r="L31" s="39" t="n">
        <f aca="false">'Datos Fuente'!L33</f>
        <v>6105</v>
      </c>
      <c r="M31" s="39" t="n">
        <f aca="false">'Datos Fuente'!M33</f>
        <v>21762.25</v>
      </c>
      <c r="N31" s="39" t="n">
        <f aca="false">'Datos Fuente'!N33</f>
        <v>16090</v>
      </c>
      <c r="O31" s="39" t="n">
        <f aca="false">'Datos Fuente'!O33</f>
        <v>17440</v>
      </c>
      <c r="P31" s="39" t="n">
        <f aca="false">'Datos Fuente'!P33</f>
        <v>16160</v>
      </c>
      <c r="Q31" s="39" t="n">
        <f aca="false">'Datos Fuente'!Q33</f>
        <v>20530</v>
      </c>
      <c r="R31" s="39" t="n">
        <f aca="false">'Datos Fuente'!R33</f>
        <v>27440</v>
      </c>
      <c r="S31" s="39" t="n">
        <f aca="false">'Datos Fuente'!S33</f>
        <v>26585</v>
      </c>
      <c r="T31" s="39" t="n">
        <f aca="false">'Datos Fuente'!T33</f>
        <v>33558</v>
      </c>
      <c r="U31" s="39" t="n">
        <f aca="false">'Datos Fuente'!U33</f>
        <v>35541</v>
      </c>
    </row>
    <row r="32" customFormat="false" ht="15" hidden="false" customHeight="true" outlineLevel="0" collapsed="false">
      <c r="B32" s="38" t="s">
        <v>111</v>
      </c>
      <c r="C32" s="39" t="n">
        <f aca="false">'Datos Fuente'!C34</f>
        <v>0</v>
      </c>
      <c r="D32" s="39" t="n">
        <f aca="false">'Datos Fuente'!D34</f>
        <v>0</v>
      </c>
      <c r="E32" s="39" t="n">
        <f aca="false">'Datos Fuente'!E34</f>
        <v>0</v>
      </c>
      <c r="F32" s="39" t="n">
        <f aca="false">'Datos Fuente'!F34</f>
        <v>0</v>
      </c>
      <c r="G32" s="39" t="n">
        <f aca="false">'Datos Fuente'!G34</f>
        <v>0</v>
      </c>
      <c r="H32" s="39" t="n">
        <f aca="false">'Datos Fuente'!H34</f>
        <v>0</v>
      </c>
      <c r="I32" s="39" t="n">
        <f aca="false">'Datos Fuente'!I34</f>
        <v>0</v>
      </c>
      <c r="J32" s="39" t="n">
        <f aca="false">'Datos Fuente'!J34</f>
        <v>0</v>
      </c>
      <c r="K32" s="39" t="n">
        <f aca="false">'Datos Fuente'!K34</f>
        <v>0</v>
      </c>
      <c r="L32" s="39" t="n">
        <f aca="false">'Datos Fuente'!L34</f>
        <v>0</v>
      </c>
      <c r="M32" s="39" t="n">
        <f aca="false">'Datos Fuente'!M34</f>
        <v>0</v>
      </c>
      <c r="N32" s="39" t="n">
        <f aca="false">'Datos Fuente'!N34</f>
        <v>0</v>
      </c>
      <c r="O32" s="39" t="n">
        <f aca="false">'Datos Fuente'!O34</f>
        <v>0</v>
      </c>
      <c r="P32" s="39" t="n">
        <f aca="false">'Datos Fuente'!P34</f>
        <v>0</v>
      </c>
      <c r="Q32" s="39" t="n">
        <f aca="false">'Datos Fuente'!Q34</f>
        <v>0</v>
      </c>
      <c r="R32" s="39" t="n">
        <f aca="false">'Datos Fuente'!R34</f>
        <v>7200</v>
      </c>
      <c r="S32" s="39" t="n">
        <f aca="false">'Datos Fuente'!S34</f>
        <v>0</v>
      </c>
      <c r="T32" s="39" t="n">
        <f aca="false">'Datos Fuente'!T34</f>
        <v>0</v>
      </c>
      <c r="U32" s="39" t="n">
        <f aca="false">'Datos Fuente'!U34</f>
        <v>0</v>
      </c>
    </row>
    <row r="33" customFormat="false" ht="15" hidden="false" customHeight="true" outlineLevel="0" collapsed="false">
      <c r="B33" s="38" t="s">
        <v>112</v>
      </c>
      <c r="C33" s="39" t="n">
        <f aca="false">'Datos Fuente'!C35</f>
        <v>3565</v>
      </c>
      <c r="D33" s="39" t="n">
        <f aca="false">'Datos Fuente'!D35</f>
        <v>6569</v>
      </c>
      <c r="E33" s="39" t="n">
        <f aca="false">'Datos Fuente'!E35</f>
        <v>3471</v>
      </c>
      <c r="F33" s="39" t="n">
        <f aca="false">'Datos Fuente'!F35</f>
        <v>1856</v>
      </c>
      <c r="G33" s="39" t="n">
        <f aca="false">'Datos Fuente'!G35</f>
        <v>1262</v>
      </c>
      <c r="H33" s="39" t="n">
        <f aca="false">'Datos Fuente'!H35</f>
        <v>9432</v>
      </c>
      <c r="I33" s="39" t="n">
        <f aca="false">'Datos Fuente'!I35</f>
        <v>4286</v>
      </c>
      <c r="J33" s="39" t="n">
        <f aca="false">'Datos Fuente'!J35</f>
        <v>18966</v>
      </c>
      <c r="K33" s="39" t="n">
        <f aca="false">'Datos Fuente'!K35</f>
        <v>1904</v>
      </c>
      <c r="L33" s="39" t="n">
        <f aca="false">'Datos Fuente'!L35</f>
        <v>13992</v>
      </c>
      <c r="M33" s="39" t="n">
        <f aca="false">'Datos Fuente'!M35</f>
        <v>3584</v>
      </c>
      <c r="N33" s="39" t="n">
        <f aca="false">'Datos Fuente'!N35</f>
        <v>16540</v>
      </c>
      <c r="O33" s="39" t="n">
        <f aca="false">'Datos Fuente'!O35</f>
        <v>4334</v>
      </c>
      <c r="P33" s="39" t="n">
        <f aca="false">'Datos Fuente'!P35</f>
        <v>17817</v>
      </c>
      <c r="Q33" s="39" t="n">
        <f aca="false">'Datos Fuente'!Q35</f>
        <v>2969</v>
      </c>
      <c r="R33" s="39" t="n">
        <f aca="false">'Datos Fuente'!R35</f>
        <v>16674</v>
      </c>
      <c r="S33" s="39" t="n">
        <f aca="false">'Datos Fuente'!S35</f>
        <v>2351</v>
      </c>
      <c r="T33" s="39" t="n">
        <f aca="false">'Datos Fuente'!T35</f>
        <v>15591</v>
      </c>
      <c r="U33" s="39" t="n">
        <f aca="false">'Datos Fuente'!U35</f>
        <v>1675</v>
      </c>
    </row>
    <row r="34" customFormat="false" ht="15" hidden="false" customHeight="true" outlineLevel="0" collapsed="false">
      <c r="B34" s="38" t="s">
        <v>113</v>
      </c>
      <c r="C34" s="39" t="n">
        <f aca="false">'Datos Fuente'!C36</f>
        <v>0</v>
      </c>
      <c r="D34" s="39" t="n">
        <f aca="false">'Datos Fuente'!D36</f>
        <v>0</v>
      </c>
      <c r="E34" s="39" t="n">
        <f aca="false">'Datos Fuente'!E36</f>
        <v>0</v>
      </c>
      <c r="F34" s="39" t="n">
        <f aca="false">'Datos Fuente'!F36</f>
        <v>0</v>
      </c>
      <c r="G34" s="39" t="n">
        <f aca="false">'Datos Fuente'!G36</f>
        <v>0</v>
      </c>
      <c r="H34" s="39" t="n">
        <f aca="false">'Datos Fuente'!H36</f>
        <v>0</v>
      </c>
      <c r="I34" s="39" t="n">
        <f aca="false">'Datos Fuente'!I36</f>
        <v>0</v>
      </c>
      <c r="J34" s="39" t="n">
        <f aca="false">'Datos Fuente'!J36</f>
        <v>0</v>
      </c>
      <c r="K34" s="39" t="n">
        <f aca="false">'Datos Fuente'!K36</f>
        <v>0</v>
      </c>
      <c r="L34" s="39" t="n">
        <f aca="false">'Datos Fuente'!L36</f>
        <v>0</v>
      </c>
      <c r="M34" s="39" t="n">
        <f aca="false">'Datos Fuente'!M36</f>
        <v>0</v>
      </c>
      <c r="N34" s="39" t="n">
        <f aca="false">'Datos Fuente'!N36</f>
        <v>0</v>
      </c>
      <c r="O34" s="39" t="n">
        <f aca="false">'Datos Fuente'!O36</f>
        <v>0</v>
      </c>
      <c r="P34" s="39" t="n">
        <f aca="false">'Datos Fuente'!P36</f>
        <v>0</v>
      </c>
      <c r="Q34" s="39" t="n">
        <f aca="false">'Datos Fuente'!Q36</f>
        <v>0</v>
      </c>
      <c r="R34" s="39" t="n">
        <f aca="false">'Datos Fuente'!R36</f>
        <v>0</v>
      </c>
      <c r="S34" s="39" t="n">
        <f aca="false">'Datos Fuente'!S36</f>
        <v>17408</v>
      </c>
      <c r="T34" s="39" t="n">
        <f aca="false">'Datos Fuente'!T36</f>
        <v>13452</v>
      </c>
      <c r="U34" s="39" t="n">
        <f aca="false">'Datos Fuente'!U36</f>
        <v>15870</v>
      </c>
    </row>
    <row r="35" customFormat="false" ht="15" hidden="false" customHeight="true" outlineLevel="0" collapsed="false">
      <c r="B35" s="38" t="s">
        <v>114</v>
      </c>
      <c r="C35" s="39" t="n">
        <f aca="false">'Datos Fuente'!C40+'Datos Fuente'!C41+'Datos Fuente'!C42</f>
        <v>26149</v>
      </c>
      <c r="D35" s="39" t="n">
        <f aca="false">'Datos Fuente'!D40+'Datos Fuente'!D41+'Datos Fuente'!D42</f>
        <v>30765</v>
      </c>
      <c r="E35" s="39" t="n">
        <f aca="false">'Datos Fuente'!E40+'Datos Fuente'!E41+'Datos Fuente'!E42</f>
        <v>28109</v>
      </c>
      <c r="F35" s="39" t="n">
        <f aca="false">'Datos Fuente'!F40+'Datos Fuente'!F41+'Datos Fuente'!F42</f>
        <v>23752</v>
      </c>
      <c r="G35" s="39" t="n">
        <f aca="false">'Datos Fuente'!G40+'Datos Fuente'!G41+'Datos Fuente'!G42</f>
        <v>28815</v>
      </c>
      <c r="H35" s="39" t="n">
        <f aca="false">'Datos Fuente'!H40+'Datos Fuente'!H41+'Datos Fuente'!H42</f>
        <v>33225</v>
      </c>
      <c r="I35" s="39" t="n">
        <f aca="false">'Datos Fuente'!I40+'Datos Fuente'!I41+'Datos Fuente'!I42</f>
        <v>35691</v>
      </c>
      <c r="J35" s="39" t="n">
        <f aca="false">'Datos Fuente'!J40+'Datos Fuente'!J41+'Datos Fuente'!J42</f>
        <v>28119</v>
      </c>
      <c r="K35" s="39" t="n">
        <f aca="false">'Datos Fuente'!K40+'Datos Fuente'!K41+'Datos Fuente'!K42</f>
        <v>64269</v>
      </c>
      <c r="L35" s="39" t="n">
        <f aca="false">'Datos Fuente'!L40+'Datos Fuente'!L41+'Datos Fuente'!L42</f>
        <v>69768</v>
      </c>
      <c r="M35" s="39" t="n">
        <f aca="false">'Datos Fuente'!M40+'Datos Fuente'!M41+'Datos Fuente'!M42</f>
        <v>81876</v>
      </c>
      <c r="N35" s="39" t="n">
        <f aca="false">'Datos Fuente'!N40+'Datos Fuente'!N41+'Datos Fuente'!N42</f>
        <v>41383</v>
      </c>
      <c r="O35" s="39" t="n">
        <f aca="false">'Datos Fuente'!O40+'Datos Fuente'!O41+'Datos Fuente'!O42</f>
        <v>50730</v>
      </c>
      <c r="P35" s="39" t="n">
        <f aca="false">'Datos Fuente'!P40+'Datos Fuente'!P41+'Datos Fuente'!P42</f>
        <v>48580</v>
      </c>
      <c r="Q35" s="39" t="n">
        <f aca="false">'Datos Fuente'!Q40+'Datos Fuente'!Q41+'Datos Fuente'!Q42</f>
        <v>0</v>
      </c>
      <c r="R35" s="39" t="n">
        <f aca="false">'Datos Fuente'!R40+'Datos Fuente'!R41+'Datos Fuente'!R42</f>
        <v>0</v>
      </c>
      <c r="S35" s="39" t="n">
        <f aca="false">'Datos Fuente'!S40+'Datos Fuente'!S41+'Datos Fuente'!S42</f>
        <v>0</v>
      </c>
      <c r="T35" s="39" t="n">
        <f aca="false">'Datos Fuente'!T40+'Datos Fuente'!T41+'Datos Fuente'!T42</f>
        <v>0</v>
      </c>
      <c r="U35" s="39" t="n">
        <f aca="false">'Datos Fuente'!U40+'Datos Fuente'!U41+'Datos Fuente'!U42</f>
        <v>0</v>
      </c>
    </row>
    <row r="36" customFormat="false" ht="15" hidden="false" customHeight="true" outlineLevel="0" collapsed="false">
      <c r="B36" s="40" t="s">
        <v>115</v>
      </c>
      <c r="C36" s="41" t="n">
        <f aca="false">'Datos Fuente'!C37</f>
        <v>0</v>
      </c>
      <c r="D36" s="41" t="n">
        <f aca="false">'Datos Fuente'!D37</f>
        <v>0</v>
      </c>
      <c r="E36" s="41" t="n">
        <f aca="false">'Datos Fuente'!E37</f>
        <v>0</v>
      </c>
      <c r="F36" s="41" t="n">
        <f aca="false">'Datos Fuente'!F37</f>
        <v>0</v>
      </c>
      <c r="G36" s="41" t="n">
        <f aca="false">'Datos Fuente'!G37</f>
        <v>0</v>
      </c>
      <c r="H36" s="41" t="n">
        <f aca="false">'Datos Fuente'!H37</f>
        <v>0</v>
      </c>
      <c r="I36" s="41" t="n">
        <f aca="false">'Datos Fuente'!I37</f>
        <v>0</v>
      </c>
      <c r="J36" s="41" t="n">
        <f aca="false">'Datos Fuente'!J37</f>
        <v>0</v>
      </c>
      <c r="K36" s="41" t="n">
        <f aca="false">'Datos Fuente'!K37</f>
        <v>0</v>
      </c>
      <c r="L36" s="41" t="n">
        <f aca="false">'Datos Fuente'!L37</f>
        <v>0</v>
      </c>
      <c r="M36" s="41" t="n">
        <f aca="false">'Datos Fuente'!M37</f>
        <v>0</v>
      </c>
      <c r="N36" s="41" t="n">
        <f aca="false">'Datos Fuente'!N37</f>
        <v>0</v>
      </c>
      <c r="O36" s="41" t="n">
        <f aca="false">'Datos Fuente'!O37</f>
        <v>0</v>
      </c>
      <c r="P36" s="41" t="n">
        <f aca="false">'Datos Fuente'!P37</f>
        <v>0</v>
      </c>
      <c r="Q36" s="41" t="n">
        <f aca="false">'Datos Fuente'!Q37</f>
        <v>44332.45</v>
      </c>
      <c r="R36" s="41" t="n">
        <f aca="false">'Datos Fuente'!R37</f>
        <v>40000</v>
      </c>
      <c r="S36" s="41" t="n">
        <f aca="false">'Datos Fuente'!S37</f>
        <v>40000</v>
      </c>
      <c r="T36" s="41" t="n">
        <f aca="false">'Datos Fuente'!T37</f>
        <v>40000</v>
      </c>
      <c r="U36" s="41" t="n">
        <f aca="false">'Datos Fuente'!U37</f>
        <v>40000</v>
      </c>
    </row>
    <row r="38" customFormat="false" ht="15" hidden="false" customHeight="true" outlineLevel="0" collapsed="false">
      <c r="B38" s="42" t="s">
        <v>116</v>
      </c>
      <c r="C38" s="43" t="n">
        <f aca="false">C7-C17</f>
        <v>51252.59</v>
      </c>
      <c r="D38" s="43" t="n">
        <f aca="false">D7-D17</f>
        <v>52044.57</v>
      </c>
      <c r="E38" s="43" t="n">
        <f aca="false">E7-E17</f>
        <v>70306</v>
      </c>
      <c r="F38" s="43" t="n">
        <f aca="false">F7-F17</f>
        <v>55150</v>
      </c>
      <c r="G38" s="43" t="n">
        <f aca="false">G7-G17</f>
        <v>89908</v>
      </c>
      <c r="H38" s="43" t="n">
        <f aca="false">H7-H17</f>
        <v>83792</v>
      </c>
      <c r="I38" s="43" t="n">
        <f aca="false">I7-I17</f>
        <v>47998</v>
      </c>
      <c r="J38" s="43" t="n">
        <f aca="false">J7-J17</f>
        <v>88534.5</v>
      </c>
      <c r="K38" s="43" t="n">
        <f aca="false">K7-K17</f>
        <v>135109</v>
      </c>
      <c r="L38" s="43" t="n">
        <f aca="false">L7-L17</f>
        <v>89114</v>
      </c>
      <c r="M38" s="43" t="n">
        <f aca="false">M7-M17</f>
        <v>105034.33</v>
      </c>
      <c r="N38" s="43" t="n">
        <f aca="false">N7-N17</f>
        <v>92324</v>
      </c>
      <c r="O38" s="43" t="n">
        <f aca="false">O7-O17</f>
        <v>67064</v>
      </c>
      <c r="P38" s="43" t="n">
        <f aca="false">P7-P17</f>
        <v>77802</v>
      </c>
      <c r="Q38" s="43" t="n">
        <f aca="false">Q7-Q17</f>
        <v>60519.83</v>
      </c>
      <c r="R38" s="43" t="n">
        <f aca="false">R7-R17</f>
        <v>62719.99</v>
      </c>
      <c r="S38" s="43" t="n">
        <f aca="false">S7-S17</f>
        <v>119840.97</v>
      </c>
      <c r="T38" s="43" t="n">
        <f aca="false">T7-T17</f>
        <v>98576.63</v>
      </c>
      <c r="U38" s="43" t="n">
        <f aca="false">U7-U17</f>
        <v>91938.07</v>
      </c>
    </row>
    <row r="39" customFormat="false" ht="15" hidden="false" customHeight="true" outlineLevel="0" collapsed="false">
      <c r="B39" s="44" t="s">
        <v>117</v>
      </c>
      <c r="C39" s="45" t="n">
        <f aca="false">C38/C7</f>
        <v>0.423159483433008</v>
      </c>
      <c r="D39" s="45" t="n">
        <f aca="false">D38/D7</f>
        <v>0.425451000588582</v>
      </c>
      <c r="E39" s="45" t="n">
        <f aca="false">E38/E7</f>
        <v>0.532419538053768</v>
      </c>
      <c r="F39" s="45" t="n">
        <f aca="false">F38/F7</f>
        <v>0.360596569919119</v>
      </c>
      <c r="G39" s="45" t="n">
        <f aca="false">G38/G7</f>
        <v>0.513188161762607</v>
      </c>
      <c r="H39" s="45" t="n">
        <f aca="false">H38/H7</f>
        <v>0.436280329063834</v>
      </c>
      <c r="I39" s="45" t="n">
        <f aca="false">I38/I7</f>
        <v>0.289890259885368</v>
      </c>
      <c r="J39" s="45" t="n">
        <f aca="false">J38/J7</f>
        <v>0.457836029290088</v>
      </c>
      <c r="K39" s="45" t="n">
        <f aca="false">K38/K7</f>
        <v>0.594355973957417</v>
      </c>
      <c r="L39" s="45" t="n">
        <f aca="false">L38/L7</f>
        <v>0.469946104437155</v>
      </c>
      <c r="M39" s="45" t="n">
        <f aca="false">M38/M7</f>
        <v>0.503141595251896</v>
      </c>
      <c r="N39" s="45" t="n">
        <f aca="false">N38/N7</f>
        <v>0.424517196983631</v>
      </c>
      <c r="O39" s="45" t="n">
        <f aca="false">O38/O7</f>
        <v>0.343813922966897</v>
      </c>
      <c r="P39" s="45" t="n">
        <f aca="false">P38/P7</f>
        <v>0.399203665601125</v>
      </c>
      <c r="Q39" s="45" t="n">
        <f aca="false">Q38/Q7</f>
        <v>0.270320128807099</v>
      </c>
      <c r="R39" s="45" t="n">
        <f aca="false">R38/R7</f>
        <v>0.325245376985225</v>
      </c>
      <c r="S39" s="45" t="n">
        <f aca="false">S38/S7</f>
        <v>0.536112527605613</v>
      </c>
      <c r="T39" s="45" t="n">
        <f aca="false">T38/T7</f>
        <v>0.423345243492605</v>
      </c>
      <c r="U39" s="45" t="n">
        <f aca="false">U38/U7</f>
        <v>0.442443738228543</v>
      </c>
    </row>
    <row r="41" customFormat="false" ht="15" hidden="false" customHeight="true" outlineLevel="0" collapsed="false">
      <c r="B41" s="46" t="s">
        <v>118</v>
      </c>
      <c r="C41" s="47"/>
      <c r="D41" s="47"/>
      <c r="E41" s="47"/>
      <c r="F41" s="47"/>
      <c r="G41" s="47"/>
      <c r="H41" s="47"/>
      <c r="I41" s="47"/>
      <c r="J41" s="47"/>
      <c r="K41" s="47"/>
      <c r="L41" s="47"/>
      <c r="M41" s="47"/>
      <c r="N41" s="47"/>
      <c r="O41" s="47"/>
      <c r="P41" s="47"/>
      <c r="Q41" s="47"/>
      <c r="R41" s="47"/>
      <c r="S41" s="47"/>
      <c r="T41" s="47"/>
      <c r="U41" s="47"/>
    </row>
    <row r="42" customFormat="false" ht="15" hidden="false" customHeight="true" outlineLevel="0" collapsed="false">
      <c r="B42" s="38" t="s">
        <v>119</v>
      </c>
      <c r="C42" s="39" t="n">
        <f aca="false">'Datos Fuente'!C26</f>
        <v>0</v>
      </c>
      <c r="D42" s="39" t="n">
        <f aca="false">'Datos Fuente'!D26</f>
        <v>0</v>
      </c>
      <c r="E42" s="39" t="n">
        <f aca="false">'Datos Fuente'!E26</f>
        <v>1110</v>
      </c>
      <c r="F42" s="39" t="n">
        <f aca="false">'Datos Fuente'!F26</f>
        <v>0</v>
      </c>
      <c r="G42" s="39" t="n">
        <f aca="false">'Datos Fuente'!G26</f>
        <v>300</v>
      </c>
      <c r="H42" s="39" t="n">
        <f aca="false">'Datos Fuente'!H26</f>
        <v>0</v>
      </c>
      <c r="I42" s="39" t="n">
        <f aca="false">'Datos Fuente'!I26</f>
        <v>0</v>
      </c>
      <c r="J42" s="39" t="n">
        <f aca="false">'Datos Fuente'!J26</f>
        <v>0</v>
      </c>
      <c r="K42" s="39" t="n">
        <f aca="false">'Datos Fuente'!K26</f>
        <v>0</v>
      </c>
      <c r="L42" s="39" t="n">
        <f aca="false">'Datos Fuente'!L26</f>
        <v>50</v>
      </c>
      <c r="M42" s="39" t="n">
        <f aca="false">'Datos Fuente'!M26</f>
        <v>0</v>
      </c>
      <c r="N42" s="39" t="n">
        <f aca="false">'Datos Fuente'!N26</f>
        <v>750</v>
      </c>
      <c r="O42" s="39" t="n">
        <f aca="false">'Datos Fuente'!O26</f>
        <v>1050</v>
      </c>
      <c r="P42" s="39" t="n">
        <f aca="false">'Datos Fuente'!P26</f>
        <v>700</v>
      </c>
      <c r="Q42" s="39" t="n">
        <f aca="false">'Datos Fuente'!Q26</f>
        <v>950</v>
      </c>
      <c r="R42" s="39" t="n">
        <f aca="false">'Datos Fuente'!R26</f>
        <v>400</v>
      </c>
      <c r="S42" s="39" t="n">
        <f aca="false">'Datos Fuente'!S26</f>
        <v>550</v>
      </c>
      <c r="T42" s="39" t="n">
        <f aca="false">'Datos Fuente'!T26</f>
        <v>600</v>
      </c>
      <c r="U42" s="39" t="n">
        <f aca="false">'Datos Fuente'!U26</f>
        <v>900</v>
      </c>
    </row>
  </sheetData>
  <mergeCells count="2">
    <mergeCell ref="B2:U2"/>
    <mergeCell ref="B3:U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6"/>
    <col collapsed="false" customWidth="true" hidden="false" outlineLevel="0" max="4" min="4" style="1" width="14"/>
    <col collapsed="false" customWidth="true" hidden="false" outlineLevel="0" max="5" min="5" style="1" width="3"/>
  </cols>
  <sheetData>
    <row r="2" customFormat="false" ht="24" hidden="false" customHeight="true" outlineLevel="0" collapsed="false">
      <c r="B2" s="16" t="s">
        <v>120</v>
      </c>
      <c r="C2" s="16"/>
      <c r="D2" s="16"/>
    </row>
    <row r="3" customFormat="false" ht="15" hidden="false" customHeight="true" outlineLevel="0" collapsed="false">
      <c r="B3" s="4" t="s">
        <v>121</v>
      </c>
      <c r="C3" s="4"/>
      <c r="D3" s="4"/>
    </row>
    <row r="5" customFormat="false" ht="15" hidden="false" customHeight="true" outlineLevel="0" collapsed="false">
      <c r="B5" s="35" t="s">
        <v>122</v>
      </c>
      <c r="C5" s="35" t="s">
        <v>123</v>
      </c>
      <c r="D5" s="35" t="s">
        <v>124</v>
      </c>
    </row>
    <row r="6" customFormat="false" ht="15" hidden="false" customHeight="true" outlineLevel="0" collapsed="false">
      <c r="B6" s="38" t="s">
        <v>125</v>
      </c>
      <c r="C6" s="39" t="n">
        <f aca="false">SUM('Datos Fuente'!C8:U8)</f>
        <v>2060853.87</v>
      </c>
      <c r="D6" s="48" t="n">
        <f aca="false">C6/C$14</f>
        <v>0.577483097417983</v>
      </c>
    </row>
    <row r="7" customFormat="false" ht="15" hidden="false" customHeight="true" outlineLevel="0" collapsed="false">
      <c r="B7" s="49" t="s">
        <v>126</v>
      </c>
      <c r="C7" s="50" t="n">
        <f aca="false">SUM('Datos Fuente'!C9:U9)</f>
        <v>696200</v>
      </c>
      <c r="D7" s="51" t="n">
        <f aca="false">C7/C$14</f>
        <v>0.195085997253362</v>
      </c>
    </row>
    <row r="8" customFormat="false" ht="15" hidden="false" customHeight="true" outlineLevel="0" collapsed="false">
      <c r="B8" s="38" t="s">
        <v>127</v>
      </c>
      <c r="C8" s="39" t="n">
        <f aca="false">SUM('Datos Fuente'!C10:U10)</f>
        <v>293135.63</v>
      </c>
      <c r="D8" s="48" t="n">
        <f aca="false">C8/C$14</f>
        <v>0.0821411328771078</v>
      </c>
    </row>
    <row r="9" customFormat="false" ht="15" hidden="false" customHeight="true" outlineLevel="0" collapsed="false">
      <c r="B9" s="49" t="s">
        <v>128</v>
      </c>
      <c r="C9" s="50" t="n">
        <f aca="false">SUM('Datos Fuente'!C11:U11)</f>
        <v>197324.57</v>
      </c>
      <c r="D9" s="51" t="n">
        <f aca="false">C9/C$14</f>
        <v>0.055293393451653</v>
      </c>
    </row>
    <row r="10" customFormat="false" ht="15" hidden="false" customHeight="true" outlineLevel="0" collapsed="false">
      <c r="B10" s="38" t="s">
        <v>129</v>
      </c>
      <c r="C10" s="39" t="n">
        <f aca="false">SUM('Datos Fuente'!C12:U12)</f>
        <v>151095.4</v>
      </c>
      <c r="D10" s="48" t="n">
        <f aca="false">C10/C$14</f>
        <v>0.0423392657130072</v>
      </c>
    </row>
    <row r="11" customFormat="false" ht="15" hidden="false" customHeight="true" outlineLevel="0" collapsed="false">
      <c r="B11" s="49" t="s">
        <v>130</v>
      </c>
      <c r="C11" s="50" t="n">
        <f aca="false">SUM('Datos Fuente'!C13:U13)</f>
        <v>103502.4</v>
      </c>
      <c r="D11" s="51" t="n">
        <f aca="false">C11/C$14</f>
        <v>0.0290029717353007</v>
      </c>
    </row>
    <row r="12" customFormat="false" ht="15" hidden="false" customHeight="true" outlineLevel="0" collapsed="false">
      <c r="B12" s="38" t="s">
        <v>131</v>
      </c>
      <c r="C12" s="39" t="n">
        <f aca="false">SUM('Datos Fuente'!C14:U14)</f>
        <v>63420.71</v>
      </c>
      <c r="D12" s="48" t="n">
        <f aca="false">C12/C$14</f>
        <v>0.0177714628797275</v>
      </c>
    </row>
    <row r="13" customFormat="false" ht="15" hidden="false" customHeight="true" outlineLevel="0" collapsed="false">
      <c r="B13" s="49" t="s">
        <v>132</v>
      </c>
      <c r="C13" s="50" t="n">
        <f aca="false">SUM('Datos Fuente'!C15:U15)</f>
        <v>3150</v>
      </c>
      <c r="D13" s="51" t="n">
        <f aca="false">C13/C$14</f>
        <v>0.00088267867185879</v>
      </c>
    </row>
    <row r="14" customFormat="false" ht="15" hidden="false" customHeight="true" outlineLevel="0" collapsed="false">
      <c r="B14" s="52" t="s">
        <v>133</v>
      </c>
      <c r="C14" s="53" t="n">
        <f aca="false">SUM(C6:C13)</f>
        <v>3568682.58</v>
      </c>
      <c r="D14" s="51" t="n">
        <f aca="false">C14/C$14</f>
        <v>1</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6"/>
    <col collapsed="false" customWidth="true" hidden="false" outlineLevel="0" max="4" min="4" style="1" width="14"/>
    <col collapsed="false" customWidth="true" hidden="false" outlineLevel="0" max="5" min="5" style="1" width="3"/>
  </cols>
  <sheetData>
    <row r="2" customFormat="false" ht="24" hidden="false" customHeight="true" outlineLevel="0" collapsed="false">
      <c r="B2" s="16" t="s">
        <v>134</v>
      </c>
      <c r="C2" s="16"/>
      <c r="D2" s="16"/>
    </row>
    <row r="3" customFormat="false" ht="15" hidden="false" customHeight="true" outlineLevel="0" collapsed="false">
      <c r="B3" s="4" t="s">
        <v>135</v>
      </c>
      <c r="C3" s="4"/>
      <c r="D3" s="4"/>
    </row>
    <row r="5" customFormat="false" ht="15" hidden="false" customHeight="true" outlineLevel="0" collapsed="false">
      <c r="B5" s="35" t="s">
        <v>136</v>
      </c>
      <c r="C5" s="35" t="s">
        <v>137</v>
      </c>
      <c r="D5" s="35" t="s">
        <v>124</v>
      </c>
    </row>
    <row r="6" customFormat="false" ht="15" hidden="false" customHeight="true" outlineLevel="0" collapsed="false">
      <c r="B6" s="38" t="s">
        <v>138</v>
      </c>
      <c r="C6" s="39" t="n">
        <f aca="false">SUM('Datos Fuente'!C19:U19)</f>
        <v>74851.64</v>
      </c>
      <c r="D6" s="54" t="n">
        <f aca="false">C6/C$23</f>
        <v>0.0368790130298557</v>
      </c>
    </row>
    <row r="7" customFormat="false" ht="15" hidden="false" customHeight="true" outlineLevel="0" collapsed="false">
      <c r="B7" s="49" t="s">
        <v>139</v>
      </c>
      <c r="C7" s="50" t="n">
        <f aca="false">SUM('Datos Fuente'!C20:U20)</f>
        <v>5890</v>
      </c>
      <c r="D7" s="55" t="n">
        <f aca="false">C7/C$23</f>
        <v>0.00290197231143967</v>
      </c>
    </row>
    <row r="8" customFormat="false" ht="15" hidden="false" customHeight="true" outlineLevel="0" collapsed="false">
      <c r="B8" s="38" t="s">
        <v>140</v>
      </c>
      <c r="C8" s="39" t="n">
        <f aca="false">SUM('Datos Fuente'!C21:U21)</f>
        <v>68960</v>
      </c>
      <c r="D8" s="54" t="n">
        <f aca="false">C8/C$23</f>
        <v>0.0339762326989609</v>
      </c>
    </row>
    <row r="9" customFormat="false" ht="15" hidden="false" customHeight="true" outlineLevel="0" collapsed="false">
      <c r="B9" s="49" t="s">
        <v>141</v>
      </c>
      <c r="C9" s="50" t="n">
        <f aca="false">SUM('Datos Fuente'!C22:U22)</f>
        <v>55820</v>
      </c>
      <c r="D9" s="55" t="n">
        <f aca="false">C9/C$23</f>
        <v>0.0275022231620649</v>
      </c>
    </row>
    <row r="10" customFormat="false" ht="15" hidden="false" customHeight="true" outlineLevel="0" collapsed="false">
      <c r="B10" s="38" t="s">
        <v>142</v>
      </c>
      <c r="C10" s="39" t="n">
        <f aca="false">SUM('Datos Fuente'!C23:U23)</f>
        <v>31859.1</v>
      </c>
      <c r="D10" s="54" t="n">
        <f aca="false">C10/C$23</f>
        <v>0.0156968125751082</v>
      </c>
    </row>
    <row r="11" customFormat="false" ht="15" hidden="false" customHeight="true" outlineLevel="0" collapsed="false">
      <c r="B11" s="49" t="s">
        <v>143</v>
      </c>
      <c r="C11" s="50" t="n">
        <f aca="false">SUM('Datos Fuente'!C24:U24)</f>
        <v>366877.11</v>
      </c>
      <c r="D11" s="55" t="n">
        <f aca="false">C11/C$23</f>
        <v>0.180758440563838</v>
      </c>
    </row>
    <row r="12" customFormat="false" ht="15" hidden="false" customHeight="true" outlineLevel="0" collapsed="false">
      <c r="B12" s="38" t="s">
        <v>144</v>
      </c>
      <c r="C12" s="39" t="n">
        <f aca="false">SUM('Datos Fuente'!C25:U25)</f>
        <v>476538</v>
      </c>
      <c r="D12" s="54" t="n">
        <f aca="false">C12/C$23</f>
        <v>0.234787789702689</v>
      </c>
    </row>
    <row r="13" customFormat="false" ht="15" hidden="false" customHeight="true" outlineLevel="0" collapsed="false">
      <c r="B13" s="49" t="s">
        <v>145</v>
      </c>
      <c r="C13" s="50" t="n">
        <f aca="false">SUM('Datos Fuente'!C27:U27)</f>
        <v>211907</v>
      </c>
      <c r="D13" s="55" t="n">
        <f aca="false">C13/C$23</f>
        <v>0.104405474804796</v>
      </c>
    </row>
    <row r="14" customFormat="false" ht="15" hidden="false" customHeight="true" outlineLevel="0" collapsed="false">
      <c r="B14" s="38" t="s">
        <v>146</v>
      </c>
      <c r="C14" s="39" t="n">
        <f aca="false">SUM('Datos Fuente'!C28:U28)</f>
        <v>27807.8</v>
      </c>
      <c r="D14" s="54" t="n">
        <f aca="false">C14/C$23</f>
        <v>0.0137007581735233</v>
      </c>
    </row>
    <row r="15" customFormat="false" ht="15" hidden="false" customHeight="true" outlineLevel="0" collapsed="false">
      <c r="B15" s="49" t="s">
        <v>147</v>
      </c>
      <c r="C15" s="50" t="n">
        <f aca="false">SUM('Datos Fuente'!C29:U29)</f>
        <v>54260</v>
      </c>
      <c r="D15" s="55" t="n">
        <f aca="false">C15/C$23</f>
        <v>0.0267336192901047</v>
      </c>
    </row>
    <row r="16" customFormat="false" ht="15" hidden="false" customHeight="true" outlineLevel="0" collapsed="false">
      <c r="B16" s="38" t="s">
        <v>148</v>
      </c>
      <c r="C16" s="39" t="n">
        <f aca="false">SUM('Datos Fuente'!C30:U30)</f>
        <v>123515</v>
      </c>
      <c r="D16" s="54" t="n">
        <f aca="false">C16/C$23</f>
        <v>0.0608551969520324</v>
      </c>
    </row>
    <row r="17" customFormat="false" ht="15" hidden="false" customHeight="true" outlineLevel="0" collapsed="false">
      <c r="B17" s="49" t="s">
        <v>149</v>
      </c>
      <c r="C17" s="50" t="n">
        <f aca="false">SUM('Datos Fuente'!C31:U31)</f>
        <v>14713.7</v>
      </c>
      <c r="D17" s="55" t="n">
        <f aca="false">C17/C$23</f>
        <v>0.00724936332747536</v>
      </c>
    </row>
    <row r="18" customFormat="false" ht="15" hidden="false" customHeight="true" outlineLevel="0" collapsed="false">
      <c r="B18" s="38" t="s">
        <v>150</v>
      </c>
      <c r="C18" s="39" t="n">
        <f aca="false">SUM('Datos Fuente'!C32:U32)</f>
        <v>11116</v>
      </c>
      <c r="D18" s="54" t="n">
        <f aca="false">C18/C$23</f>
        <v>0.00547679528250651</v>
      </c>
    </row>
    <row r="19" customFormat="false" ht="15" hidden="false" customHeight="true" outlineLevel="0" collapsed="false">
      <c r="B19" s="49" t="s">
        <v>151</v>
      </c>
      <c r="C19" s="50" t="n">
        <f aca="false">SUM('Datos Fuente'!C33:U33)</f>
        <v>304770.75</v>
      </c>
      <c r="D19" s="55" t="n">
        <f aca="false">C19/C$23</f>
        <v>0.150158960583481</v>
      </c>
    </row>
    <row r="20" customFormat="false" ht="15" hidden="false" customHeight="true" outlineLevel="0" collapsed="false">
      <c r="B20" s="38" t="s">
        <v>152</v>
      </c>
      <c r="C20" s="39" t="n">
        <f aca="false">SUM('Datos Fuente'!C34:U34)</f>
        <v>7200</v>
      </c>
      <c r="D20" s="54" t="n">
        <f aca="false">C20/C$23</f>
        <v>0.00354740248597039</v>
      </c>
    </row>
    <row r="21" customFormat="false" ht="15" hidden="false" customHeight="true" outlineLevel="0" collapsed="false">
      <c r="B21" s="49" t="s">
        <v>153</v>
      </c>
      <c r="C21" s="50" t="n">
        <f aca="false">SUM('Datos Fuente'!C35:U35)</f>
        <v>146838</v>
      </c>
      <c r="D21" s="55" t="n">
        <f aca="false">C21/C$23</f>
        <v>0.0723463175326279</v>
      </c>
    </row>
    <row r="22" customFormat="false" ht="15" hidden="false" customHeight="true" outlineLevel="0" collapsed="false">
      <c r="B22" s="38" t="s">
        <v>154</v>
      </c>
      <c r="C22" s="39" t="n">
        <f aca="false">SUM('Datos Fuente'!C36:U36)</f>
        <v>46730</v>
      </c>
      <c r="D22" s="54" t="n">
        <f aca="false">C22/C$23</f>
        <v>0.0230236275235273</v>
      </c>
    </row>
    <row r="23" customFormat="false" ht="15" hidden="false" customHeight="true" outlineLevel="0" collapsed="false">
      <c r="B23" s="52" t="s">
        <v>155</v>
      </c>
      <c r="C23" s="53" t="n">
        <f aca="false">SUM(C6:C22)</f>
        <v>2029654.1</v>
      </c>
      <c r="D23" s="55" t="n">
        <f aca="false">C23/C$23</f>
        <v>1</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6" min="3" style="1" width="14"/>
    <col collapsed="false" customWidth="true" hidden="false" outlineLevel="0" max="7" min="7" style="1" width="12"/>
    <col collapsed="false" customWidth="true" hidden="false" outlineLevel="0" max="8" min="8" style="1" width="3"/>
  </cols>
  <sheetData>
    <row r="2" customFormat="false" ht="24" hidden="false" customHeight="true" outlineLevel="0" collapsed="false">
      <c r="B2" s="16" t="s">
        <v>156</v>
      </c>
      <c r="C2" s="16"/>
      <c r="D2" s="16"/>
      <c r="E2" s="16"/>
      <c r="F2" s="16"/>
      <c r="G2" s="16"/>
    </row>
    <row r="3" customFormat="false" ht="15" hidden="false" customHeight="true" outlineLevel="0" collapsed="false">
      <c r="B3" s="4" t="s">
        <v>157</v>
      </c>
      <c r="C3" s="4"/>
      <c r="D3" s="4"/>
      <c r="E3" s="4"/>
      <c r="F3" s="4"/>
      <c r="G3" s="4"/>
    </row>
    <row r="5" customFormat="false" ht="15" hidden="false" customHeight="true" outlineLevel="0" collapsed="false">
      <c r="B5" s="35" t="s">
        <v>122</v>
      </c>
      <c r="C5" s="35" t="s">
        <v>158</v>
      </c>
      <c r="D5" s="35" t="s">
        <v>159</v>
      </c>
      <c r="E5" s="35" t="s">
        <v>160</v>
      </c>
      <c r="F5" s="35" t="s">
        <v>161</v>
      </c>
      <c r="G5" s="35" t="s">
        <v>162</v>
      </c>
    </row>
    <row r="6" customFormat="false" ht="15" hidden="false" customHeight="true" outlineLevel="0" collapsed="false">
      <c r="B6" s="38" t="s">
        <v>127</v>
      </c>
      <c r="C6" s="56" t="n">
        <v>1158</v>
      </c>
      <c r="D6" s="39" t="n">
        <v>33026</v>
      </c>
      <c r="E6" s="39" t="n">
        <v>16113.03</v>
      </c>
      <c r="F6" s="39" t="n">
        <f aca="false">D6-E6</f>
        <v>16912.97</v>
      </c>
      <c r="G6" s="48" t="n">
        <f aca="false">F6/D6</f>
        <v>0.512110761218434</v>
      </c>
    </row>
    <row r="7" customFormat="false" ht="15" hidden="false" customHeight="true" outlineLevel="0" collapsed="false">
      <c r="B7" s="49" t="s">
        <v>163</v>
      </c>
      <c r="C7" s="57" t="n">
        <v>353</v>
      </c>
      <c r="D7" s="50" t="n">
        <v>7985</v>
      </c>
      <c r="E7" s="50" t="n">
        <v>3882.33</v>
      </c>
      <c r="F7" s="50" t="n">
        <f aca="false">D7-E7</f>
        <v>4102.67</v>
      </c>
      <c r="G7" s="51" t="n">
        <f aca="false">F7/D7</f>
        <v>0.513797119599249</v>
      </c>
    </row>
    <row r="8" customFormat="false" ht="15" hidden="false" customHeight="true" outlineLevel="0" collapsed="false">
      <c r="B8" s="38" t="s">
        <v>126</v>
      </c>
      <c r="C8" s="56" t="n">
        <v>33</v>
      </c>
      <c r="D8" s="39" t="n">
        <v>32600</v>
      </c>
      <c r="E8" s="39" t="n">
        <f aca="false">D8*(SUM('Datos Fuente'!C33:U33)/SUM('Datos Fuente'!C9:U9))</f>
        <v>14271.0807957483</v>
      </c>
      <c r="F8" s="39" t="n">
        <f aca="false">D8-E8</f>
        <v>18328.9192042517</v>
      </c>
      <c r="G8" s="48" t="n">
        <f aca="false">F8/D8</f>
        <v>0.562236785406492</v>
      </c>
    </row>
    <row r="9" customFormat="false" ht="15" hidden="false" customHeight="true" outlineLevel="0" collapsed="false">
      <c r="B9" s="49" t="s">
        <v>131</v>
      </c>
      <c r="C9" s="57" t="n">
        <v>346</v>
      </c>
      <c r="D9" s="50" t="n">
        <v>9150</v>
      </c>
      <c r="E9" s="50" t="n">
        <v>566.86</v>
      </c>
      <c r="F9" s="50" t="n">
        <f aca="false">D9-E9</f>
        <v>8583.14</v>
      </c>
      <c r="G9" s="51" t="n">
        <f aca="false">F9/D9</f>
        <v>0.938048087431694</v>
      </c>
    </row>
    <row r="10" customFormat="false" ht="15" hidden="false" customHeight="true" outlineLevel="0" collapsed="false">
      <c r="B10" s="38" t="s">
        <v>164</v>
      </c>
      <c r="C10" s="56" t="n">
        <v>1146</v>
      </c>
      <c r="D10" s="39" t="n">
        <v>274103</v>
      </c>
      <c r="E10" s="39" t="n">
        <v>0</v>
      </c>
      <c r="F10" s="39" t="n">
        <f aca="false">D10-E10</f>
        <v>274103</v>
      </c>
      <c r="G10" s="48" t="n">
        <f aca="false">F10/D10</f>
        <v>1</v>
      </c>
    </row>
    <row r="11" customFormat="false" ht="15" hidden="false" customHeight="true" outlineLevel="0" collapsed="false">
      <c r="B11" s="49" t="s">
        <v>128</v>
      </c>
      <c r="C11" s="57" t="n">
        <v>259</v>
      </c>
      <c r="D11" s="50" t="n">
        <v>15402</v>
      </c>
      <c r="E11" s="50" t="n">
        <v>10122.64</v>
      </c>
      <c r="F11" s="50" t="n">
        <f aca="false">D11-E11</f>
        <v>5279.36</v>
      </c>
      <c r="G11" s="51" t="n">
        <f aca="false">F11/D11</f>
        <v>0.342771068692378</v>
      </c>
    </row>
    <row r="12" customFormat="false" ht="15" hidden="false" customHeight="true" outlineLevel="0" collapsed="false">
      <c r="B12" s="52" t="s">
        <v>165</v>
      </c>
      <c r="C12" s="58" t="n">
        <f aca="false">SUM(C6:C11)</f>
        <v>3295</v>
      </c>
      <c r="D12" s="53" t="n">
        <f aca="false">SUM(D6:D11)</f>
        <v>372266</v>
      </c>
      <c r="E12" s="53" t="n">
        <f aca="false">SUM(E6:E11)</f>
        <v>44955.9407957484</v>
      </c>
      <c r="F12" s="53" t="n">
        <f aca="false">SUM(F6:F11)</f>
        <v>327310.059204252</v>
      </c>
      <c r="G12" s="59" t="n">
        <f aca="false">F12/D12</f>
        <v>0.879237048788371</v>
      </c>
    </row>
    <row r="14" customFormat="false" ht="30" hidden="false" customHeight="true" outlineLevel="0" collapsed="false">
      <c r="B14" s="13" t="s">
        <v>166</v>
      </c>
      <c r="C14" s="13"/>
      <c r="D14" s="13"/>
      <c r="E14" s="13"/>
      <c r="F14" s="13"/>
      <c r="G14" s="13"/>
    </row>
  </sheetData>
  <mergeCells count="3">
    <mergeCell ref="B2:G2"/>
    <mergeCell ref="B3:G3"/>
    <mergeCell ref="B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21" min="3" style="1" width="10"/>
    <col collapsed="false" customWidth="true" hidden="false" outlineLevel="0" max="22" min="22" style="1" width="3"/>
  </cols>
  <sheetData>
    <row r="2" customFormat="false" ht="24" hidden="false" customHeight="true" outlineLevel="0" collapsed="false">
      <c r="B2" s="16" t="s">
        <v>167</v>
      </c>
      <c r="C2" s="16"/>
      <c r="D2" s="16"/>
      <c r="E2" s="16"/>
      <c r="F2" s="16"/>
      <c r="G2" s="16"/>
      <c r="H2" s="16"/>
      <c r="I2" s="16"/>
      <c r="J2" s="16"/>
      <c r="K2" s="16"/>
      <c r="L2" s="16"/>
      <c r="M2" s="16"/>
      <c r="N2" s="16"/>
      <c r="O2" s="16"/>
      <c r="P2" s="16"/>
      <c r="Q2" s="16"/>
      <c r="R2" s="16"/>
      <c r="S2" s="16"/>
      <c r="T2" s="16"/>
      <c r="U2" s="16"/>
    </row>
    <row r="5" customFormat="false" ht="15" hidden="false" customHeight="true" outlineLevel="0" collapsed="false">
      <c r="B5" s="35" t="s">
        <v>67</v>
      </c>
      <c r="C5" s="35" t="s">
        <v>68</v>
      </c>
      <c r="D5" s="35" t="s">
        <v>69</v>
      </c>
      <c r="E5" s="35" t="s">
        <v>70</v>
      </c>
      <c r="F5" s="35" t="s">
        <v>71</v>
      </c>
      <c r="G5" s="35" t="s">
        <v>72</v>
      </c>
      <c r="H5" s="35" t="s">
        <v>73</v>
      </c>
      <c r="I5" s="35" t="s">
        <v>74</v>
      </c>
      <c r="J5" s="35" t="s">
        <v>75</v>
      </c>
      <c r="K5" s="35" t="s">
        <v>76</v>
      </c>
      <c r="L5" s="35" t="s">
        <v>77</v>
      </c>
      <c r="M5" s="35" t="s">
        <v>78</v>
      </c>
      <c r="N5" s="35" t="s">
        <v>79</v>
      </c>
      <c r="O5" s="35" t="s">
        <v>80</v>
      </c>
      <c r="P5" s="35" t="s">
        <v>81</v>
      </c>
      <c r="Q5" s="35" t="s">
        <v>82</v>
      </c>
      <c r="R5" s="35" t="s">
        <v>83</v>
      </c>
      <c r="S5" s="35" t="s">
        <v>84</v>
      </c>
      <c r="T5" s="35" t="s">
        <v>85</v>
      </c>
      <c r="U5" s="35" t="s">
        <v>86</v>
      </c>
    </row>
    <row r="6" customFormat="false" ht="15" hidden="false" customHeight="true" outlineLevel="0" collapsed="false">
      <c r="B6" s="44" t="s">
        <v>168</v>
      </c>
      <c r="C6" s="39" t="n">
        <f aca="false">'P&amp;L Operativo Ajustado'!C7</f>
        <v>121118.85</v>
      </c>
      <c r="D6" s="39" t="n">
        <f aca="false">'P&amp;L Operativo Ajustado'!D7</f>
        <v>122328</v>
      </c>
      <c r="E6" s="39" t="n">
        <f aca="false">'P&amp;L Operativo Ajustado'!E7</f>
        <v>132050</v>
      </c>
      <c r="F6" s="39" t="n">
        <f aca="false">'P&amp;L Operativo Ajustado'!F7</f>
        <v>152941</v>
      </c>
      <c r="G6" s="39" t="n">
        <f aca="false">'P&amp;L Operativo Ajustado'!G7</f>
        <v>175195</v>
      </c>
      <c r="H6" s="39" t="n">
        <f aca="false">'P&amp;L Operativo Ajustado'!H7</f>
        <v>192060</v>
      </c>
      <c r="I6" s="39" t="n">
        <f aca="false">'P&amp;L Operativo Ajustado'!I7</f>
        <v>165573</v>
      </c>
      <c r="J6" s="39" t="n">
        <f aca="false">'P&amp;L Operativo Ajustado'!J7</f>
        <v>193376</v>
      </c>
      <c r="K6" s="39" t="n">
        <f aca="false">'P&amp;L Operativo Ajustado'!K7</f>
        <v>227320</v>
      </c>
      <c r="L6" s="39" t="n">
        <f aca="false">'P&amp;L Operativo Ajustado'!L7</f>
        <v>189626</v>
      </c>
      <c r="M6" s="39" t="n">
        <f aca="false">'P&amp;L Operativo Ajustado'!M7</f>
        <v>208757</v>
      </c>
      <c r="N6" s="39" t="n">
        <f aca="false">'P&amp;L Operativo Ajustado'!N7</f>
        <v>217480</v>
      </c>
      <c r="O6" s="39" t="n">
        <f aca="false">'P&amp;L Operativo Ajustado'!O7</f>
        <v>195059</v>
      </c>
      <c r="P6" s="39" t="n">
        <f aca="false">'P&amp;L Operativo Ajustado'!P7</f>
        <v>194893</v>
      </c>
      <c r="Q6" s="39" t="n">
        <f aca="false">'P&amp;L Operativo Ajustado'!Q7</f>
        <v>223882.07</v>
      </c>
      <c r="R6" s="39" t="n">
        <f aca="false">'P&amp;L Operativo Ajustado'!R7</f>
        <v>192838.99</v>
      </c>
      <c r="S6" s="39" t="n">
        <f aca="false">'P&amp;L Operativo Ajustado'!S7</f>
        <v>223536.97</v>
      </c>
      <c r="T6" s="39" t="n">
        <f aca="false">'P&amp;L Operativo Ajustado'!T7</f>
        <v>232851.63</v>
      </c>
      <c r="U6" s="39" t="n">
        <f aca="false">'P&amp;L Operativo Ajustado'!U7</f>
        <v>207796.07</v>
      </c>
    </row>
    <row r="7" customFormat="false" ht="15" hidden="false" customHeight="true" outlineLevel="0" collapsed="false">
      <c r="B7" s="44" t="s">
        <v>169</v>
      </c>
      <c r="C7" s="39" t="n">
        <f aca="false">'P&amp;L Operativo Ajustado'!C17</f>
        <v>69866.26</v>
      </c>
      <c r="D7" s="39" t="n">
        <f aca="false">'P&amp;L Operativo Ajustado'!D17</f>
        <v>70283.43</v>
      </c>
      <c r="E7" s="39" t="n">
        <f aca="false">'P&amp;L Operativo Ajustado'!E17</f>
        <v>61744</v>
      </c>
      <c r="F7" s="39" t="n">
        <f aca="false">'P&amp;L Operativo Ajustado'!F17</f>
        <v>97791</v>
      </c>
      <c r="G7" s="39" t="n">
        <f aca="false">'P&amp;L Operativo Ajustado'!G17</f>
        <v>85287</v>
      </c>
      <c r="H7" s="39" t="n">
        <f aca="false">'P&amp;L Operativo Ajustado'!H17</f>
        <v>108268</v>
      </c>
      <c r="I7" s="39" t="n">
        <f aca="false">'P&amp;L Operativo Ajustado'!I17</f>
        <v>117575</v>
      </c>
      <c r="J7" s="39" t="n">
        <f aca="false">'P&amp;L Operativo Ajustado'!J17</f>
        <v>104841.5</v>
      </c>
      <c r="K7" s="39" t="n">
        <f aca="false">'P&amp;L Operativo Ajustado'!K17</f>
        <v>92211</v>
      </c>
      <c r="L7" s="39" t="n">
        <f aca="false">'P&amp;L Operativo Ajustado'!L17</f>
        <v>100512</v>
      </c>
      <c r="M7" s="39" t="n">
        <f aca="false">'P&amp;L Operativo Ajustado'!M17</f>
        <v>103722.67</v>
      </c>
      <c r="N7" s="39" t="n">
        <f aca="false">'P&amp;L Operativo Ajustado'!N17</f>
        <v>125156</v>
      </c>
      <c r="O7" s="39" t="n">
        <f aca="false">'P&amp;L Operativo Ajustado'!O17</f>
        <v>127995</v>
      </c>
      <c r="P7" s="39" t="n">
        <f aca="false">'P&amp;L Operativo Ajustado'!P17</f>
        <v>117091</v>
      </c>
      <c r="Q7" s="39" t="n">
        <f aca="false">'P&amp;L Operativo Ajustado'!Q17</f>
        <v>163362.24</v>
      </c>
      <c r="R7" s="39" t="n">
        <f aca="false">'P&amp;L Operativo Ajustado'!R17</f>
        <v>130119</v>
      </c>
      <c r="S7" s="39" t="n">
        <f aca="false">'P&amp;L Operativo Ajustado'!S17</f>
        <v>103696</v>
      </c>
      <c r="T7" s="39" t="n">
        <f aca="false">'P&amp;L Operativo Ajustado'!T17</f>
        <v>134275</v>
      </c>
      <c r="U7" s="39" t="n">
        <f aca="false">'P&amp;L Operativo Ajustado'!U17</f>
        <v>115858</v>
      </c>
    </row>
    <row r="8" customFormat="false" ht="15" hidden="false" customHeight="true" outlineLevel="0" collapsed="false">
      <c r="B8" s="44" t="s">
        <v>170</v>
      </c>
      <c r="C8" s="39" t="n">
        <f aca="false">'P&amp;L Operativo Ajustado'!C38</f>
        <v>51252.59</v>
      </c>
      <c r="D8" s="39" t="n">
        <f aca="false">'P&amp;L Operativo Ajustado'!D38</f>
        <v>52044.57</v>
      </c>
      <c r="E8" s="39" t="n">
        <f aca="false">'P&amp;L Operativo Ajustado'!E38</f>
        <v>70306</v>
      </c>
      <c r="F8" s="39" t="n">
        <f aca="false">'P&amp;L Operativo Ajustado'!F38</f>
        <v>55150</v>
      </c>
      <c r="G8" s="39" t="n">
        <f aca="false">'P&amp;L Operativo Ajustado'!G38</f>
        <v>89908</v>
      </c>
      <c r="H8" s="39" t="n">
        <f aca="false">'P&amp;L Operativo Ajustado'!H38</f>
        <v>83792</v>
      </c>
      <c r="I8" s="39" t="n">
        <f aca="false">'P&amp;L Operativo Ajustado'!I38</f>
        <v>47998</v>
      </c>
      <c r="J8" s="39" t="n">
        <f aca="false">'P&amp;L Operativo Ajustado'!J38</f>
        <v>88534.5</v>
      </c>
      <c r="K8" s="39" t="n">
        <f aca="false">'P&amp;L Operativo Ajustado'!K38</f>
        <v>135109</v>
      </c>
      <c r="L8" s="39" t="n">
        <f aca="false">'P&amp;L Operativo Ajustado'!L38</f>
        <v>89114</v>
      </c>
      <c r="M8" s="39" t="n">
        <f aca="false">'P&amp;L Operativo Ajustado'!M38</f>
        <v>105034.33</v>
      </c>
      <c r="N8" s="39" t="n">
        <f aca="false">'P&amp;L Operativo Ajustado'!N38</f>
        <v>92324</v>
      </c>
      <c r="O8" s="39" t="n">
        <f aca="false">'P&amp;L Operativo Ajustado'!O38</f>
        <v>67064</v>
      </c>
      <c r="P8" s="39" t="n">
        <f aca="false">'P&amp;L Operativo Ajustado'!P38</f>
        <v>77802</v>
      </c>
      <c r="Q8" s="39" t="n">
        <f aca="false">'P&amp;L Operativo Ajustado'!Q38</f>
        <v>60519.83</v>
      </c>
      <c r="R8" s="39" t="n">
        <f aca="false">'P&amp;L Operativo Ajustado'!R38</f>
        <v>62719.99</v>
      </c>
      <c r="S8" s="39" t="n">
        <f aca="false">'P&amp;L Operativo Ajustado'!S38</f>
        <v>119840.97</v>
      </c>
      <c r="T8" s="39" t="n">
        <f aca="false">'P&amp;L Operativo Ajustado'!T38</f>
        <v>98576.63</v>
      </c>
      <c r="U8" s="39" t="n">
        <f aca="false">'P&amp;L Operativo Ajustado'!U38</f>
        <v>91938.07</v>
      </c>
    </row>
    <row r="9" customFormat="false" ht="15" hidden="false" customHeight="true" outlineLevel="0" collapsed="false">
      <c r="B9" s="44" t="s">
        <v>117</v>
      </c>
      <c r="C9" s="48" t="n">
        <f aca="false">'P&amp;L Operativo Ajustado'!C39</f>
        <v>0.423159483433008</v>
      </c>
      <c r="D9" s="48" t="n">
        <f aca="false">'P&amp;L Operativo Ajustado'!D39</f>
        <v>0.425451000588582</v>
      </c>
      <c r="E9" s="48" t="n">
        <f aca="false">'P&amp;L Operativo Ajustado'!E39</f>
        <v>0.532419538053768</v>
      </c>
      <c r="F9" s="48" t="n">
        <f aca="false">'P&amp;L Operativo Ajustado'!F39</f>
        <v>0.360596569919119</v>
      </c>
      <c r="G9" s="48" t="n">
        <f aca="false">'P&amp;L Operativo Ajustado'!G39</f>
        <v>0.513188161762607</v>
      </c>
      <c r="H9" s="48" t="n">
        <f aca="false">'P&amp;L Operativo Ajustado'!H39</f>
        <v>0.436280329063834</v>
      </c>
      <c r="I9" s="48" t="n">
        <f aca="false">'P&amp;L Operativo Ajustado'!I39</f>
        <v>0.289890259885368</v>
      </c>
      <c r="J9" s="48" t="n">
        <f aca="false">'P&amp;L Operativo Ajustado'!J39</f>
        <v>0.457836029290088</v>
      </c>
      <c r="K9" s="48" t="n">
        <f aca="false">'P&amp;L Operativo Ajustado'!K39</f>
        <v>0.594355973957417</v>
      </c>
      <c r="L9" s="48" t="n">
        <f aca="false">'P&amp;L Operativo Ajustado'!L39</f>
        <v>0.469946104437155</v>
      </c>
      <c r="M9" s="48" t="n">
        <f aca="false">'P&amp;L Operativo Ajustado'!M39</f>
        <v>0.503141595251896</v>
      </c>
      <c r="N9" s="48" t="n">
        <f aca="false">'P&amp;L Operativo Ajustado'!N39</f>
        <v>0.424517196983631</v>
      </c>
      <c r="O9" s="48" t="n">
        <f aca="false">'P&amp;L Operativo Ajustado'!O39</f>
        <v>0.343813922966897</v>
      </c>
      <c r="P9" s="48" t="n">
        <f aca="false">'P&amp;L Operativo Ajustado'!P39</f>
        <v>0.399203665601125</v>
      </c>
      <c r="Q9" s="48" t="n">
        <f aca="false">'P&amp;L Operativo Ajustado'!Q39</f>
        <v>0.270320128807099</v>
      </c>
      <c r="R9" s="48" t="n">
        <f aca="false">'P&amp;L Operativo Ajustado'!R39</f>
        <v>0.325245376985225</v>
      </c>
      <c r="S9" s="48" t="n">
        <f aca="false">'P&amp;L Operativo Ajustado'!S39</f>
        <v>0.536112527605613</v>
      </c>
      <c r="T9" s="48" t="n">
        <f aca="false">'P&amp;L Operativo Ajustado'!T39</f>
        <v>0.423345243492605</v>
      </c>
      <c r="U9" s="48" t="n">
        <f aca="false">'P&amp;L Operativo Ajustado'!U39</f>
        <v>0.442443738228543</v>
      </c>
    </row>
  </sheetData>
  <mergeCells count="1">
    <mergeCell ref="B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6" min="3" style="1" width="16"/>
    <col collapsed="false" customWidth="true" hidden="false" outlineLevel="0" max="7" min="7" style="1" width="3"/>
  </cols>
  <sheetData>
    <row r="2" customFormat="false" ht="24" hidden="false" customHeight="true" outlineLevel="0" collapsed="false">
      <c r="B2" s="16" t="s">
        <v>171</v>
      </c>
      <c r="C2" s="16"/>
      <c r="D2" s="16"/>
      <c r="E2" s="16"/>
      <c r="F2" s="16"/>
    </row>
    <row r="3" customFormat="false" ht="30" hidden="false" customHeight="true" outlineLevel="0" collapsed="false">
      <c r="B3" s="60" t="s">
        <v>172</v>
      </c>
      <c r="C3" s="60"/>
      <c r="D3" s="60"/>
      <c r="E3" s="60"/>
      <c r="F3" s="60"/>
    </row>
    <row r="5" customFormat="false" ht="19.5" hidden="false" customHeight="true" outlineLevel="0" collapsed="false">
      <c r="B5" s="61" t="s">
        <v>173</v>
      </c>
      <c r="C5" s="61"/>
      <c r="D5" s="61"/>
      <c r="E5" s="61"/>
      <c r="F5" s="61"/>
    </row>
    <row r="6" customFormat="false" ht="15" hidden="false" customHeight="true" outlineLevel="0" collapsed="false">
      <c r="B6" s="62" t="s">
        <v>174</v>
      </c>
      <c r="C6" s="62"/>
      <c r="D6" s="62"/>
      <c r="E6" s="63" t="n">
        <v>0.115</v>
      </c>
      <c r="F6" s="63"/>
    </row>
    <row r="7" customFormat="false" ht="31.5" hidden="false" customHeight="true" outlineLevel="0" collapsed="false">
      <c r="B7" s="64" t="s">
        <v>175</v>
      </c>
      <c r="C7" s="64"/>
      <c r="D7" s="64"/>
      <c r="E7" s="64"/>
      <c r="F7" s="64"/>
    </row>
    <row r="8" customFormat="false" ht="31.5" hidden="false" customHeight="true" outlineLevel="0" collapsed="false">
      <c r="B8" s="65" t="s">
        <v>176</v>
      </c>
      <c r="C8" s="65"/>
      <c r="D8" s="65"/>
      <c r="E8" s="65"/>
      <c r="F8" s="65"/>
    </row>
    <row r="9" customFormat="false" ht="31.5" hidden="false" customHeight="true" outlineLevel="0" collapsed="false">
      <c r="B9" s="64" t="s">
        <v>177</v>
      </c>
      <c r="C9" s="64"/>
      <c r="D9" s="64"/>
      <c r="E9" s="64"/>
      <c r="F9" s="64"/>
    </row>
    <row r="10" customFormat="false" ht="31.5" hidden="false" customHeight="true" outlineLevel="0" collapsed="false">
      <c r="B10" s="65" t="s">
        <v>178</v>
      </c>
      <c r="C10" s="65"/>
      <c r="D10" s="65"/>
      <c r="E10" s="65"/>
      <c r="F10" s="65"/>
    </row>
    <row r="12" customFormat="false" ht="15.75" hidden="false" customHeight="true" outlineLevel="0" collapsed="false">
      <c r="B12" s="25" t="s">
        <v>179</v>
      </c>
      <c r="C12" s="25"/>
      <c r="D12" s="25"/>
      <c r="E12" s="25"/>
      <c r="F12" s="25"/>
    </row>
    <row r="13" customFormat="false" ht="19.5" hidden="false" customHeight="true" outlineLevel="0" collapsed="false">
      <c r="B13" s="66" t="s">
        <v>67</v>
      </c>
      <c r="C13" s="67" t="s">
        <v>180</v>
      </c>
      <c r="D13" s="67" t="s">
        <v>181</v>
      </c>
      <c r="E13" s="67" t="s">
        <v>182</v>
      </c>
      <c r="F13" s="67" t="s">
        <v>183</v>
      </c>
    </row>
    <row r="14" customFormat="false" ht="15" hidden="false" customHeight="true" outlineLevel="0" collapsed="false">
      <c r="B14" s="68" t="s">
        <v>168</v>
      </c>
      <c r="C14" s="69" t="n">
        <f aca="false">SUM('P&amp;L Operativo Ajustado'!J7:U7)</f>
        <v>2507416.73</v>
      </c>
      <c r="D14" s="69" t="n">
        <f aca="false">C14*(1+$E$6)</f>
        <v>2795769.65395</v>
      </c>
      <c r="E14" s="69" t="n">
        <f aca="false">D14*(1+$E$6)</f>
        <v>3117283.16415425</v>
      </c>
      <c r="F14" s="69" t="n">
        <f aca="false">E14*(1+$E$6)</f>
        <v>3475770.72803199</v>
      </c>
    </row>
    <row r="15" customFormat="false" ht="15" hidden="false" customHeight="true" outlineLevel="0" collapsed="false">
      <c r="B15" s="70" t="s">
        <v>184</v>
      </c>
      <c r="C15" s="71" t="n">
        <f aca="false">SUM('P&amp;L Operativo Ajustado'!J38:U38)</f>
        <v>1088577.32</v>
      </c>
      <c r="D15" s="71" t="n">
        <f aca="false">D14*($C$15/$C$14)</f>
        <v>1213763.7118</v>
      </c>
      <c r="E15" s="71" t="n">
        <f aca="false">E14*($C$15/$C$14)</f>
        <v>1353346.538657</v>
      </c>
      <c r="F15" s="71" t="n">
        <f aca="false">F14*($C$15/$C$14)</f>
        <v>1508981.39060256</v>
      </c>
    </row>
    <row r="16" customFormat="false" ht="15" hidden="false" customHeight="true" outlineLevel="0" collapsed="false">
      <c r="B16" s="68" t="s">
        <v>117</v>
      </c>
      <c r="C16" s="72" t="n">
        <f aca="false">C15/C14</f>
        <v>0.434142959555032</v>
      </c>
      <c r="D16" s="72" t="n">
        <f aca="false">D15/D14</f>
        <v>0.434142959555032</v>
      </c>
      <c r="E16" s="72" t="n">
        <f aca="false">E15/E14</f>
        <v>0.434142959555032</v>
      </c>
      <c r="F16" s="72" t="n">
        <f aca="false">F15/F14</f>
        <v>0.434142959555032</v>
      </c>
    </row>
    <row r="19" customFormat="false" ht="15.75" hidden="false" customHeight="true" outlineLevel="0" collapsed="false">
      <c r="B19" s="25" t="s">
        <v>185</v>
      </c>
      <c r="C19" s="25"/>
      <c r="D19" s="25"/>
      <c r="E19" s="25"/>
      <c r="F19" s="25"/>
    </row>
    <row r="20" customFormat="false" ht="19.5" hidden="false" customHeight="true" outlineLevel="0" collapsed="false">
      <c r="B20" s="66" t="s">
        <v>67</v>
      </c>
      <c r="C20" s="67" t="s">
        <v>180</v>
      </c>
      <c r="D20" s="67" t="s">
        <v>181</v>
      </c>
      <c r="E20" s="67" t="s">
        <v>182</v>
      </c>
      <c r="F20" s="67" t="s">
        <v>183</v>
      </c>
    </row>
    <row r="21" customFormat="false" ht="15" hidden="false" customHeight="true" outlineLevel="0" collapsed="false">
      <c r="B21" s="73" t="s">
        <v>186</v>
      </c>
      <c r="C21" s="74" t="n">
        <f aca="false">SUM('P&amp;L Operativo Ajustado'!J8:U8)</f>
        <v>1359417.02</v>
      </c>
      <c r="D21" s="74" t="n">
        <f aca="false">C21*(1+$E$6)</f>
        <v>1515749.9773</v>
      </c>
      <c r="E21" s="74" t="n">
        <f aca="false">D21*(1+$E$6)</f>
        <v>1690061.2246895</v>
      </c>
      <c r="F21" s="74" t="n">
        <f aca="false">E21*(1+$E$6)</f>
        <v>1884418.26552879</v>
      </c>
    </row>
    <row r="22" customFormat="false" ht="15" hidden="false" customHeight="true" outlineLevel="0" collapsed="false">
      <c r="B22" s="75" t="s">
        <v>187</v>
      </c>
      <c r="C22" s="76" t="n">
        <f aca="false">SUM('P&amp;L Operativo Ajustado'!J9:U9)</f>
        <v>548900</v>
      </c>
      <c r="D22" s="76" t="n">
        <f aca="false">C22*(1+$E$6)</f>
        <v>612023.5</v>
      </c>
      <c r="E22" s="76" t="n">
        <f aca="false">D22*(1+$E$6)</f>
        <v>682406.2025</v>
      </c>
      <c r="F22" s="76" t="n">
        <f aca="false">E22*(1+$E$6)</f>
        <v>760882.9157875</v>
      </c>
    </row>
    <row r="23" customFormat="false" ht="15" hidden="false" customHeight="true" outlineLevel="0" collapsed="false">
      <c r="B23" s="73" t="s">
        <v>127</v>
      </c>
      <c r="C23" s="74" t="n">
        <f aca="false">SUM('P&amp;L Operativo Ajustado'!J10:U10)</f>
        <v>200779.63</v>
      </c>
      <c r="D23" s="74" t="n">
        <f aca="false">C23*(1+$E$6)</f>
        <v>223869.28745</v>
      </c>
      <c r="E23" s="74" t="n">
        <f aca="false">D23*(1+$E$6)</f>
        <v>249614.25550675</v>
      </c>
      <c r="F23" s="74" t="n">
        <f aca="false">E23*(1+$E$6)</f>
        <v>278319.894890026</v>
      </c>
    </row>
    <row r="24" customFormat="false" ht="15" hidden="false" customHeight="true" outlineLevel="0" collapsed="false">
      <c r="B24" s="75" t="s">
        <v>128</v>
      </c>
      <c r="C24" s="76" t="n">
        <f aca="false">SUM('P&amp;L Operativo Ajustado'!J11:U11)</f>
        <v>148786.57</v>
      </c>
      <c r="D24" s="76" t="n">
        <f aca="false">C24*(1+$E$6)</f>
        <v>165897.02555</v>
      </c>
      <c r="E24" s="76" t="n">
        <f aca="false">D24*(1+$E$6)</f>
        <v>184975.18348825</v>
      </c>
      <c r="F24" s="76" t="n">
        <f aca="false">E24*(1+$E$6)</f>
        <v>206247.329589399</v>
      </c>
    </row>
    <row r="25" customFormat="false" ht="15" hidden="false" customHeight="true" outlineLevel="0" collapsed="false">
      <c r="B25" s="73" t="s">
        <v>129</v>
      </c>
      <c r="C25" s="74" t="n">
        <f aca="false">SUM('P&amp;L Operativo Ajustado'!J12:U12)</f>
        <v>124370.4</v>
      </c>
      <c r="D25" s="74" t="n">
        <f aca="false">C25*(1+$E$6)</f>
        <v>138672.996</v>
      </c>
      <c r="E25" s="74" t="n">
        <f aca="false">D25*(1+$E$6)</f>
        <v>154620.39054</v>
      </c>
      <c r="F25" s="74" t="n">
        <f aca="false">E25*(1+$E$6)</f>
        <v>172401.7354521</v>
      </c>
    </row>
    <row r="26" customFormat="false" ht="15" hidden="false" customHeight="true" outlineLevel="0" collapsed="false">
      <c r="B26" s="75" t="s">
        <v>130</v>
      </c>
      <c r="C26" s="76" t="n">
        <f aca="false">SUM('P&amp;L Operativo Ajustado'!J13:U13)</f>
        <v>82262.4</v>
      </c>
      <c r="D26" s="76" t="n">
        <f aca="false">C26*(1+$E$6)</f>
        <v>91722.576</v>
      </c>
      <c r="E26" s="76" t="n">
        <f aca="false">D26*(1+$E$6)</f>
        <v>102270.67224</v>
      </c>
      <c r="F26" s="76" t="n">
        <f aca="false">E26*(1+$E$6)</f>
        <v>114031.7995476</v>
      </c>
    </row>
    <row r="27" customFormat="false" ht="15" hidden="false" customHeight="true" outlineLevel="0" collapsed="false">
      <c r="B27" s="73" t="s">
        <v>188</v>
      </c>
      <c r="C27" s="74" t="n">
        <f aca="false">SUM('P&amp;L Operativo Ajustado'!J14:U14)+SUM('P&amp;L Operativo Ajustado'!J15:U15)</f>
        <v>42900.71</v>
      </c>
      <c r="D27" s="74" t="n">
        <f aca="false">C27*(1+$E$6)</f>
        <v>47834.29165</v>
      </c>
      <c r="E27" s="74" t="n">
        <f aca="false">D27*(1+$E$6)</f>
        <v>53335.23518975</v>
      </c>
      <c r="F27" s="74" t="n">
        <f aca="false">E27*(1+$E$6)</f>
        <v>59468.7872365713</v>
      </c>
    </row>
    <row r="28" customFormat="false" ht="15" hidden="false" customHeight="true" outlineLevel="0" collapsed="false">
      <c r="B28" s="68" t="s">
        <v>189</v>
      </c>
      <c r="C28" s="69" t="n">
        <f aca="false">SUM(C21:C27)</f>
        <v>2507416.73</v>
      </c>
      <c r="D28" s="69" t="n">
        <f aca="false">SUM(D21:D27)</f>
        <v>2795769.65395</v>
      </c>
      <c r="E28" s="69" t="n">
        <f aca="false">SUM(E21:E27)</f>
        <v>3117283.16415425</v>
      </c>
      <c r="F28" s="69" t="n">
        <f aca="false">SUM(F21:F27)</f>
        <v>3475770.72803199</v>
      </c>
    </row>
  </sheetData>
  <mergeCells count="11">
    <mergeCell ref="B2:F2"/>
    <mergeCell ref="B3:F3"/>
    <mergeCell ref="B5:F5"/>
    <mergeCell ref="B6:D6"/>
    <mergeCell ref="E6:F6"/>
    <mergeCell ref="B7:F7"/>
    <mergeCell ref="B8:F8"/>
    <mergeCell ref="B9:F9"/>
    <mergeCell ref="B10:F10"/>
    <mergeCell ref="B12:F12"/>
    <mergeCell ref="B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11" min="3" style="1" width="11"/>
    <col collapsed="false" customWidth="true" hidden="false" outlineLevel="0" max="12" min="12" style="1" width="3"/>
  </cols>
  <sheetData>
    <row r="2" customFormat="false" ht="24" hidden="false" customHeight="true" outlineLevel="0" collapsed="false">
      <c r="B2" s="16" t="s">
        <v>190</v>
      </c>
      <c r="C2" s="16"/>
      <c r="D2" s="16"/>
      <c r="E2" s="16"/>
      <c r="F2" s="16"/>
      <c r="G2" s="16"/>
      <c r="H2" s="16"/>
      <c r="I2" s="16"/>
      <c r="J2" s="16"/>
      <c r="K2" s="16"/>
    </row>
    <row r="3" customFormat="false" ht="30" hidden="false" customHeight="true" outlineLevel="0" collapsed="false">
      <c r="B3" s="77" t="s">
        <v>191</v>
      </c>
      <c r="C3" s="77"/>
      <c r="D3" s="77"/>
      <c r="E3" s="77"/>
      <c r="F3" s="77"/>
      <c r="G3" s="77"/>
      <c r="H3" s="77"/>
      <c r="I3" s="77"/>
      <c r="J3" s="77"/>
      <c r="K3" s="77"/>
    </row>
    <row r="6" customFormat="false" ht="15" hidden="false" customHeight="true" outlineLevel="0" collapsed="false">
      <c r="B6" s="35" t="s">
        <v>192</v>
      </c>
      <c r="C6" s="35" t="s">
        <v>74</v>
      </c>
      <c r="D6" s="35" t="s">
        <v>75</v>
      </c>
      <c r="E6" s="35" t="s">
        <v>76</v>
      </c>
      <c r="F6" s="35" t="s">
        <v>77</v>
      </c>
      <c r="G6" s="35" t="s">
        <v>78</v>
      </c>
      <c r="H6" s="35" t="s">
        <v>80</v>
      </c>
      <c r="I6" s="35" t="s">
        <v>81</v>
      </c>
      <c r="J6" s="35" t="s">
        <v>82</v>
      </c>
      <c r="K6" s="35" t="s">
        <v>85</v>
      </c>
    </row>
    <row r="7" customFormat="false" ht="15" hidden="false" customHeight="true" outlineLevel="0" collapsed="false">
      <c r="B7" s="38" t="s">
        <v>193</v>
      </c>
      <c r="C7" s="39" t="n">
        <v>2600</v>
      </c>
      <c r="D7" s="39" t="n">
        <v>70600</v>
      </c>
      <c r="E7" s="39" t="n">
        <v>18000</v>
      </c>
      <c r="F7" s="39" t="n">
        <v>2404</v>
      </c>
      <c r="G7" s="39" t="n">
        <v>22722</v>
      </c>
      <c r="H7" s="39" t="n">
        <v>5769</v>
      </c>
      <c r="I7" s="39" t="n">
        <v>4851</v>
      </c>
      <c r="J7" s="39" t="n">
        <v>12374</v>
      </c>
      <c r="K7" s="39" t="n">
        <v>111744</v>
      </c>
    </row>
    <row r="8" customFormat="false" ht="15" hidden="false" customHeight="true" outlineLevel="0" collapsed="false">
      <c r="B8" s="38" t="s">
        <v>194</v>
      </c>
      <c r="C8" s="39" t="n">
        <v>37000</v>
      </c>
      <c r="D8" s="39" t="n">
        <v>5200</v>
      </c>
      <c r="E8" s="39" t="n">
        <v>17600</v>
      </c>
      <c r="F8" s="39" t="n">
        <v>14627</v>
      </c>
      <c r="G8" s="39" t="n">
        <v>25796</v>
      </c>
      <c r="H8" s="39" t="n">
        <v>9540</v>
      </c>
      <c r="I8" s="39" t="n">
        <v>20793</v>
      </c>
      <c r="J8" s="39" t="n">
        <v>15500</v>
      </c>
      <c r="K8" s="39" t="n">
        <v>13054</v>
      </c>
    </row>
    <row r="9" customFormat="false" ht="15" hidden="false" customHeight="true" outlineLevel="0" collapsed="false">
      <c r="B9" s="38" t="s">
        <v>195</v>
      </c>
      <c r="C9" s="39" t="n">
        <v>130000</v>
      </c>
      <c r="D9" s="39" t="n">
        <v>130000</v>
      </c>
      <c r="E9" s="39" t="n">
        <v>158000</v>
      </c>
      <c r="F9" s="39" t="n">
        <v>134000</v>
      </c>
      <c r="G9" s="39" t="n">
        <v>134283</v>
      </c>
      <c r="H9" s="39" t="n">
        <v>135179</v>
      </c>
      <c r="I9" s="39" t="n">
        <v>136000</v>
      </c>
      <c r="J9" s="39" t="n">
        <v>136000</v>
      </c>
      <c r="K9" s="39" t="n">
        <v>113000</v>
      </c>
    </row>
    <row r="10" customFormat="false" ht="15" hidden="false" customHeight="true" outlineLevel="0" collapsed="false">
      <c r="B10" s="38" t="s">
        <v>196</v>
      </c>
      <c r="C10" s="39" t="n">
        <v>50400</v>
      </c>
      <c r="D10" s="39" t="n">
        <v>50800</v>
      </c>
      <c r="E10" s="39" t="n">
        <v>101000</v>
      </c>
      <c r="F10" s="39" t="n">
        <v>101749</v>
      </c>
      <c r="G10" s="39" t="n">
        <v>102062</v>
      </c>
      <c r="H10" s="39" t="n">
        <v>102443</v>
      </c>
      <c r="I10" s="39" t="n">
        <v>102700</v>
      </c>
      <c r="J10" s="39" t="n">
        <v>102700</v>
      </c>
      <c r="K10" s="39" t="n">
        <v>103000</v>
      </c>
    </row>
    <row r="11" customFormat="false" ht="15" hidden="false" customHeight="true" outlineLevel="0" collapsed="false">
      <c r="B11" s="38" t="s">
        <v>197</v>
      </c>
      <c r="C11" s="39" t="n">
        <v>0</v>
      </c>
      <c r="D11" s="39" t="n">
        <v>0</v>
      </c>
      <c r="E11" s="39" t="n">
        <v>0</v>
      </c>
      <c r="F11" s="39" t="n">
        <v>0</v>
      </c>
      <c r="G11" s="39" t="n">
        <v>0</v>
      </c>
      <c r="H11" s="39" t="n">
        <v>25474</v>
      </c>
      <c r="I11" s="39" t="n">
        <v>25800</v>
      </c>
      <c r="J11" s="39" t="n">
        <v>25800</v>
      </c>
      <c r="K11" s="39" t="n">
        <v>26700</v>
      </c>
    </row>
    <row r="12" customFormat="false" ht="15" hidden="false" customHeight="true" outlineLevel="0" collapsed="false">
      <c r="B12" s="38" t="s">
        <v>198</v>
      </c>
      <c r="C12" s="39" t="n">
        <v>50000</v>
      </c>
      <c r="D12" s="39" t="n">
        <v>100000</v>
      </c>
      <c r="E12" s="39" t="n">
        <v>105000</v>
      </c>
      <c r="F12" s="39" t="n">
        <v>115000</v>
      </c>
      <c r="G12" s="39" t="n">
        <v>49000</v>
      </c>
      <c r="H12" s="39" t="n">
        <v>118800</v>
      </c>
      <c r="I12" s="39" t="n">
        <v>128000</v>
      </c>
      <c r="J12" s="39" t="n">
        <v>100000</v>
      </c>
      <c r="K12" s="39" t="n">
        <v>100000</v>
      </c>
    </row>
    <row r="13" customFormat="false" ht="15" hidden="false" customHeight="true" outlineLevel="0" collapsed="false">
      <c r="B13" s="52" t="s">
        <v>199</v>
      </c>
      <c r="C13" s="53" t="n">
        <f aca="false">SUM(C7:C12)</f>
        <v>270000</v>
      </c>
      <c r="D13" s="53" t="n">
        <f aca="false">SUM(D7:D12)</f>
        <v>356600</v>
      </c>
      <c r="E13" s="53" t="n">
        <f aca="false">SUM(E7:E12)</f>
        <v>399600</v>
      </c>
      <c r="F13" s="53" t="n">
        <f aca="false">SUM(F7:F12)</f>
        <v>367780</v>
      </c>
      <c r="G13" s="53" t="n">
        <f aca="false">SUM(G7:G12)</f>
        <v>333863</v>
      </c>
      <c r="H13" s="53" t="n">
        <f aca="false">SUM(H7:H12)</f>
        <v>397205</v>
      </c>
      <c r="I13" s="53" t="n">
        <f aca="false">SUM(I7:I12)</f>
        <v>418144</v>
      </c>
      <c r="J13" s="53" t="n">
        <f aca="false">SUM(J7:J12)</f>
        <v>392374</v>
      </c>
      <c r="K13" s="53" t="n">
        <f aca="false">SUM(K7:K12)</f>
        <v>467498</v>
      </c>
    </row>
    <row r="14" customFormat="false" ht="15" hidden="false" customHeight="true" outlineLevel="0" collapsed="false">
      <c r="B14" s="38" t="s">
        <v>200</v>
      </c>
      <c r="C14" s="39" t="n">
        <v>245355.16</v>
      </c>
      <c r="D14" s="39" t="n">
        <v>305770.66</v>
      </c>
      <c r="E14" s="39" t="n">
        <v>376610.66</v>
      </c>
      <c r="F14" s="39" t="n">
        <v>396006.66</v>
      </c>
      <c r="G14" s="39" t="n">
        <v>419164.99</v>
      </c>
      <c r="H14" s="39" t="n">
        <v>486439.99</v>
      </c>
      <c r="I14" s="39" t="n">
        <v>515000</v>
      </c>
      <c r="J14" s="39" t="n">
        <v>531187.38</v>
      </c>
      <c r="K14" s="39" t="n">
        <v>646603.8</v>
      </c>
    </row>
    <row r="15" customFormat="false" ht="15" hidden="false" customHeight="true" outlineLevel="0" collapsed="false">
      <c r="B15" s="38" t="s">
        <v>201</v>
      </c>
      <c r="C15" s="39" t="n">
        <v>0</v>
      </c>
      <c r="D15" s="39" t="n">
        <v>0</v>
      </c>
      <c r="E15" s="39" t="n">
        <v>0</v>
      </c>
      <c r="F15" s="39" t="n">
        <v>64000</v>
      </c>
      <c r="G15" s="39" t="n">
        <v>164000</v>
      </c>
      <c r="H15" s="39" t="n">
        <v>164000</v>
      </c>
      <c r="I15" s="39" t="n">
        <v>202000</v>
      </c>
      <c r="J15" s="39" t="n">
        <v>202000</v>
      </c>
      <c r="K15" s="39" t="n">
        <v>228000</v>
      </c>
    </row>
    <row r="16" customFormat="false" ht="15" hidden="false" customHeight="true" outlineLevel="0" collapsed="false">
      <c r="B16" s="78" t="s">
        <v>202</v>
      </c>
      <c r="C16" s="79" t="n">
        <f aca="false">C13-(C14-C15)</f>
        <v>24644.84</v>
      </c>
      <c r="D16" s="79" t="n">
        <f aca="false">D13-(D14-D15)</f>
        <v>50829.34</v>
      </c>
      <c r="E16" s="79" t="n">
        <f aca="false">E13-(E14-E15)</f>
        <v>22989.34</v>
      </c>
      <c r="F16" s="79" t="n">
        <f aca="false">F13-(F14-F15)</f>
        <v>35773.34</v>
      </c>
      <c r="G16" s="79" t="n">
        <f aca="false">G13-(G14-G15)</f>
        <v>78698.01</v>
      </c>
      <c r="H16" s="79" t="n">
        <f aca="false">H13-(H14-H15)</f>
        <v>74765.01</v>
      </c>
      <c r="I16" s="79" t="n">
        <f aca="false">I13-(I14-I15)</f>
        <v>105144</v>
      </c>
      <c r="J16" s="79" t="n">
        <f aca="false">J13-(J14-J15)</f>
        <v>63186.62</v>
      </c>
      <c r="K16" s="79" t="n">
        <f aca="false">K13-(K14-K15)</f>
        <v>48894.2</v>
      </c>
    </row>
  </sheetData>
  <mergeCells count="2">
    <mergeCell ref="B2:K2"/>
    <mergeCell ref="B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21" min="3" style="1" width="10"/>
    <col collapsed="false" customWidth="true" hidden="false" outlineLevel="0" max="22" min="22" style="1" width="3"/>
  </cols>
  <sheetData>
    <row r="2" customFormat="false" ht="24" hidden="false" customHeight="true" outlineLevel="0" collapsed="false">
      <c r="B2" s="16" t="s">
        <v>203</v>
      </c>
      <c r="C2" s="16"/>
      <c r="D2" s="16"/>
      <c r="E2" s="16"/>
      <c r="F2" s="16"/>
      <c r="G2" s="16"/>
      <c r="H2" s="16"/>
      <c r="I2" s="16"/>
      <c r="J2" s="16"/>
      <c r="K2" s="16"/>
      <c r="L2" s="16"/>
      <c r="M2" s="16"/>
      <c r="N2" s="16"/>
      <c r="O2" s="16"/>
      <c r="P2" s="16"/>
      <c r="Q2" s="16"/>
      <c r="R2" s="16"/>
      <c r="S2" s="16"/>
      <c r="T2" s="16"/>
      <c r="U2" s="16"/>
    </row>
    <row r="3" customFormat="false" ht="15" hidden="false" customHeight="true" outlineLevel="0" collapsed="false">
      <c r="B3" s="4" t="s">
        <v>204</v>
      </c>
      <c r="C3" s="4"/>
      <c r="D3" s="4"/>
      <c r="E3" s="4"/>
      <c r="F3" s="4"/>
      <c r="G3" s="4"/>
      <c r="H3" s="4"/>
      <c r="I3" s="4"/>
      <c r="J3" s="4"/>
      <c r="K3" s="4"/>
      <c r="L3" s="4"/>
      <c r="M3" s="4"/>
      <c r="N3" s="4"/>
      <c r="O3" s="4"/>
      <c r="P3" s="4"/>
      <c r="Q3" s="4"/>
      <c r="R3" s="4"/>
      <c r="S3" s="4"/>
      <c r="T3" s="4"/>
      <c r="U3" s="4"/>
    </row>
    <row r="6" customFormat="false" ht="21.75" hidden="false" customHeight="true" outlineLevel="0" collapsed="false">
      <c r="B6" s="35" t="s">
        <v>67</v>
      </c>
      <c r="C6" s="35" t="s">
        <v>68</v>
      </c>
      <c r="D6" s="35" t="s">
        <v>69</v>
      </c>
      <c r="E6" s="35" t="s">
        <v>70</v>
      </c>
      <c r="F6" s="35" t="s">
        <v>71</v>
      </c>
      <c r="G6" s="35" t="s">
        <v>72</v>
      </c>
      <c r="H6" s="35" t="s">
        <v>73</v>
      </c>
      <c r="I6" s="35" t="s">
        <v>74</v>
      </c>
      <c r="J6" s="35" t="s">
        <v>75</v>
      </c>
      <c r="K6" s="35" t="s">
        <v>76</v>
      </c>
      <c r="L6" s="35" t="s">
        <v>77</v>
      </c>
      <c r="M6" s="35" t="s">
        <v>78</v>
      </c>
      <c r="N6" s="35" t="s">
        <v>79</v>
      </c>
      <c r="O6" s="35" t="s">
        <v>80</v>
      </c>
      <c r="P6" s="35" t="s">
        <v>81</v>
      </c>
      <c r="Q6" s="35" t="s">
        <v>82</v>
      </c>
      <c r="R6" s="35" t="s">
        <v>83</v>
      </c>
      <c r="S6" s="35" t="s">
        <v>84</v>
      </c>
      <c r="T6" s="35" t="s">
        <v>85</v>
      </c>
      <c r="U6" s="35" t="s">
        <v>86</v>
      </c>
    </row>
    <row r="7" customFormat="false" ht="15" hidden="false" customHeight="true" outlineLevel="0" collapsed="false">
      <c r="B7" s="80" t="s">
        <v>205</v>
      </c>
      <c r="C7" s="81" t="n">
        <v>0</v>
      </c>
      <c r="D7" s="81" t="n">
        <v>0</v>
      </c>
      <c r="E7" s="81" t="n">
        <v>0</v>
      </c>
      <c r="F7" s="81" t="n">
        <v>0</v>
      </c>
      <c r="G7" s="81" t="n">
        <v>0</v>
      </c>
      <c r="H7" s="81" t="n">
        <v>0</v>
      </c>
      <c r="I7" s="81" t="n">
        <v>0</v>
      </c>
      <c r="J7" s="81" t="n">
        <v>0</v>
      </c>
      <c r="K7" s="81" t="n">
        <v>0</v>
      </c>
      <c r="L7" s="81" t="n">
        <v>0</v>
      </c>
      <c r="M7" s="81" t="n">
        <v>0</v>
      </c>
      <c r="N7" s="81" t="n">
        <v>0</v>
      </c>
      <c r="O7" s="81" t="n">
        <v>0</v>
      </c>
      <c r="P7" s="81" t="n">
        <v>0</v>
      </c>
      <c r="Q7" s="81" t="n">
        <v>0</v>
      </c>
      <c r="R7" s="81" t="n">
        <v>0</v>
      </c>
      <c r="S7" s="81" t="n">
        <v>0</v>
      </c>
      <c r="T7" s="81" t="n">
        <v>0</v>
      </c>
      <c r="U7" s="81" t="n">
        <v>0</v>
      </c>
    </row>
    <row r="8" customFormat="false" ht="15" hidden="false" customHeight="true" outlineLevel="0" collapsed="false">
      <c r="B8" s="44" t="s">
        <v>125</v>
      </c>
      <c r="C8" s="82" t="n">
        <v>81741.85</v>
      </c>
      <c r="D8" s="82" t="n">
        <v>95495</v>
      </c>
      <c r="E8" s="82" t="n">
        <v>99567</v>
      </c>
      <c r="F8" s="82" t="n">
        <v>93620</v>
      </c>
      <c r="G8" s="82" t="n">
        <v>109082</v>
      </c>
      <c r="H8" s="82" t="n">
        <v>120527</v>
      </c>
      <c r="I8" s="82" t="n">
        <v>101404</v>
      </c>
      <c r="J8" s="82" t="n">
        <v>113871</v>
      </c>
      <c r="K8" s="82" t="n">
        <v>120065</v>
      </c>
      <c r="L8" s="82" t="n">
        <v>120267</v>
      </c>
      <c r="M8" s="82" t="n">
        <v>110453</v>
      </c>
      <c r="N8" s="82" t="n">
        <v>119750</v>
      </c>
      <c r="O8" s="82" t="n">
        <v>101884</v>
      </c>
      <c r="P8" s="82" t="n">
        <v>106978</v>
      </c>
      <c r="Q8" s="82" t="n">
        <v>120974.57</v>
      </c>
      <c r="R8" s="82" t="n">
        <v>100805</v>
      </c>
      <c r="S8" s="82" t="n">
        <v>119721.28</v>
      </c>
      <c r="T8" s="82" t="n">
        <v>122406.17</v>
      </c>
      <c r="U8" s="82" t="n">
        <v>102242</v>
      </c>
    </row>
    <row r="9" customFormat="false" ht="15" hidden="false" customHeight="true" outlineLevel="0" collapsed="false">
      <c r="B9" s="44" t="s">
        <v>126</v>
      </c>
      <c r="C9" s="82" t="n">
        <v>17000</v>
      </c>
      <c r="D9" s="82" t="n">
        <v>2400</v>
      </c>
      <c r="E9" s="82" t="n">
        <v>13200</v>
      </c>
      <c r="F9" s="82" t="n">
        <v>31200</v>
      </c>
      <c r="G9" s="82" t="n">
        <v>26500</v>
      </c>
      <c r="H9" s="82" t="n">
        <v>30400</v>
      </c>
      <c r="I9" s="82" t="n">
        <v>26600</v>
      </c>
      <c r="J9" s="82" t="n">
        <v>36350</v>
      </c>
      <c r="K9" s="82" t="n">
        <v>50500</v>
      </c>
      <c r="L9" s="82" t="n">
        <v>18500</v>
      </c>
      <c r="M9" s="82" t="n">
        <v>48025</v>
      </c>
      <c r="N9" s="82" t="n">
        <v>40225</v>
      </c>
      <c r="O9" s="82" t="n">
        <v>43600</v>
      </c>
      <c r="P9" s="82" t="n">
        <v>40400</v>
      </c>
      <c r="Q9" s="82" t="n">
        <v>49125</v>
      </c>
      <c r="R9" s="82" t="n">
        <v>46350</v>
      </c>
      <c r="S9" s="82" t="n">
        <v>51125</v>
      </c>
      <c r="T9" s="82" t="n">
        <v>61000</v>
      </c>
      <c r="U9" s="82" t="n">
        <v>63700</v>
      </c>
    </row>
    <row r="10" customFormat="false" ht="15" hidden="false" customHeight="true" outlineLevel="0" collapsed="false">
      <c r="B10" s="44" t="s">
        <v>127</v>
      </c>
      <c r="C10" s="82" t="n">
        <v>11020</v>
      </c>
      <c r="D10" s="82" t="n">
        <v>11936</v>
      </c>
      <c r="E10" s="82" t="n">
        <v>10435</v>
      </c>
      <c r="F10" s="82" t="n">
        <v>12510</v>
      </c>
      <c r="G10" s="82" t="n">
        <v>15730</v>
      </c>
      <c r="H10" s="82" t="n">
        <v>15405</v>
      </c>
      <c r="I10" s="82" t="n">
        <v>15320</v>
      </c>
      <c r="J10" s="82" t="n">
        <v>12260</v>
      </c>
      <c r="K10" s="82" t="n">
        <v>18330</v>
      </c>
      <c r="L10" s="82" t="n">
        <v>16475</v>
      </c>
      <c r="M10" s="82" t="n">
        <v>14460</v>
      </c>
      <c r="N10" s="82" t="n">
        <v>17785</v>
      </c>
      <c r="O10" s="82" t="n">
        <v>16485</v>
      </c>
      <c r="P10" s="82" t="n">
        <v>15440</v>
      </c>
      <c r="Q10" s="82" t="n">
        <v>15879</v>
      </c>
      <c r="R10" s="82" t="n">
        <v>14924.13</v>
      </c>
      <c r="S10" s="82" t="n">
        <v>19021.92</v>
      </c>
      <c r="T10" s="82" t="n">
        <v>20212.22</v>
      </c>
      <c r="U10" s="82" t="n">
        <v>19507.36</v>
      </c>
    </row>
    <row r="11" customFormat="false" ht="15" hidden="false" customHeight="true" outlineLevel="0" collapsed="false">
      <c r="B11" s="44" t="s">
        <v>128</v>
      </c>
      <c r="C11" s="82" t="n">
        <v>6247</v>
      </c>
      <c r="D11" s="82" t="n">
        <v>5237</v>
      </c>
      <c r="E11" s="82" t="n">
        <v>3918</v>
      </c>
      <c r="F11" s="82" t="n">
        <v>3146</v>
      </c>
      <c r="G11" s="82" t="n">
        <v>9858</v>
      </c>
      <c r="H11" s="82" t="n">
        <v>12248</v>
      </c>
      <c r="I11" s="82" t="n">
        <v>7884</v>
      </c>
      <c r="J11" s="82" t="n">
        <v>12870</v>
      </c>
      <c r="K11" s="82" t="n">
        <v>11740</v>
      </c>
      <c r="L11" s="82" t="n">
        <v>12154</v>
      </c>
      <c r="M11" s="82" t="n">
        <v>14504</v>
      </c>
      <c r="N11" s="82" t="n">
        <v>12055</v>
      </c>
      <c r="O11" s="82" t="n">
        <v>12605</v>
      </c>
      <c r="P11" s="82" t="n">
        <v>11500</v>
      </c>
      <c r="Q11" s="82" t="n">
        <v>13541.72</v>
      </c>
      <c r="R11" s="82" t="n">
        <v>11785.99</v>
      </c>
      <c r="S11" s="82" t="n">
        <v>13550</v>
      </c>
      <c r="T11" s="82" t="n">
        <v>12321.22</v>
      </c>
      <c r="U11" s="82" t="n">
        <v>10159.64</v>
      </c>
    </row>
    <row r="12" customFormat="false" ht="15" hidden="false" customHeight="true" outlineLevel="0" collapsed="false">
      <c r="B12" s="44" t="s">
        <v>129</v>
      </c>
      <c r="C12" s="82" t="n">
        <v>0</v>
      </c>
      <c r="D12" s="82" t="n">
        <v>0</v>
      </c>
      <c r="E12" s="82" t="n">
        <v>0</v>
      </c>
      <c r="F12" s="82" t="n">
        <v>5905</v>
      </c>
      <c r="G12" s="82" t="n">
        <v>6950</v>
      </c>
      <c r="H12" s="82" t="n">
        <v>6010</v>
      </c>
      <c r="I12" s="82" t="n">
        <v>7860</v>
      </c>
      <c r="J12" s="82" t="n">
        <v>10720</v>
      </c>
      <c r="K12" s="82" t="n">
        <v>13740</v>
      </c>
      <c r="L12" s="82" t="n">
        <v>10350</v>
      </c>
      <c r="M12" s="82" t="n">
        <v>12565</v>
      </c>
      <c r="N12" s="82" t="n">
        <v>11405</v>
      </c>
      <c r="O12" s="82" t="n">
        <v>9780</v>
      </c>
      <c r="P12" s="82" t="n">
        <v>10875</v>
      </c>
      <c r="Q12" s="82" t="n">
        <v>12011.78</v>
      </c>
      <c r="R12" s="82" t="n">
        <v>8140</v>
      </c>
      <c r="S12" s="82" t="n">
        <v>11242</v>
      </c>
      <c r="T12" s="82" t="n">
        <v>7516.98</v>
      </c>
      <c r="U12" s="82" t="n">
        <v>6024.64</v>
      </c>
    </row>
    <row r="13" customFormat="false" ht="15" hidden="false" customHeight="true" outlineLevel="0" collapsed="false">
      <c r="B13" s="44" t="s">
        <v>130</v>
      </c>
      <c r="C13" s="82" t="n">
        <v>2585</v>
      </c>
      <c r="D13" s="82" t="n">
        <v>2875</v>
      </c>
      <c r="E13" s="82" t="n">
        <v>2750</v>
      </c>
      <c r="F13" s="82" t="n">
        <v>2845</v>
      </c>
      <c r="G13" s="82" t="n">
        <v>3160</v>
      </c>
      <c r="H13" s="82" t="n">
        <v>3350</v>
      </c>
      <c r="I13" s="82" t="n">
        <v>3675</v>
      </c>
      <c r="J13" s="82" t="n">
        <v>4775</v>
      </c>
      <c r="K13" s="82" t="n">
        <v>7865</v>
      </c>
      <c r="L13" s="82" t="n">
        <v>7495</v>
      </c>
      <c r="M13" s="82" t="n">
        <v>6535</v>
      </c>
      <c r="N13" s="82" t="n">
        <v>9520</v>
      </c>
      <c r="O13" s="82" t="n">
        <v>7945</v>
      </c>
      <c r="P13" s="82" t="n">
        <v>6595</v>
      </c>
      <c r="Q13" s="82" t="n">
        <v>8200</v>
      </c>
      <c r="R13" s="82" t="n">
        <v>6583.16</v>
      </c>
      <c r="S13" s="82" t="n">
        <v>6571.77</v>
      </c>
      <c r="T13" s="82" t="n">
        <v>5980.04</v>
      </c>
      <c r="U13" s="82" t="n">
        <v>4197.43</v>
      </c>
    </row>
    <row r="14" customFormat="false" ht="15" hidden="false" customHeight="true" outlineLevel="0" collapsed="false">
      <c r="B14" s="44" t="s">
        <v>131</v>
      </c>
      <c r="C14" s="82" t="n">
        <v>2525</v>
      </c>
      <c r="D14" s="82" t="n">
        <v>4385</v>
      </c>
      <c r="E14" s="82" t="n">
        <v>2180</v>
      </c>
      <c r="F14" s="82" t="n">
        <v>3715</v>
      </c>
      <c r="G14" s="82" t="n">
        <v>3915</v>
      </c>
      <c r="H14" s="82" t="n">
        <v>4120</v>
      </c>
      <c r="I14" s="82" t="n">
        <v>2830</v>
      </c>
      <c r="J14" s="82" t="n">
        <v>2530</v>
      </c>
      <c r="K14" s="82" t="n">
        <v>5080</v>
      </c>
      <c r="L14" s="82" t="n">
        <v>4385</v>
      </c>
      <c r="M14" s="82" t="n">
        <v>2215</v>
      </c>
      <c r="N14" s="82" t="n">
        <v>6740</v>
      </c>
      <c r="O14" s="82" t="n">
        <v>2760</v>
      </c>
      <c r="P14" s="82" t="n">
        <v>3105</v>
      </c>
      <c r="Q14" s="82" t="n">
        <v>3450</v>
      </c>
      <c r="R14" s="82" t="n">
        <v>2150.71</v>
      </c>
      <c r="S14" s="82" t="n">
        <v>2305</v>
      </c>
      <c r="T14" s="82" t="n">
        <v>3065</v>
      </c>
      <c r="U14" s="82" t="n">
        <v>1965</v>
      </c>
    </row>
    <row r="15" customFormat="false" ht="15" hidden="false" customHeight="true" outlineLevel="0" collapsed="false">
      <c r="B15" s="44" t="s">
        <v>132</v>
      </c>
      <c r="C15" s="82" t="n">
        <v>0</v>
      </c>
      <c r="D15" s="82" t="n">
        <v>0</v>
      </c>
      <c r="E15" s="82" t="n">
        <v>0</v>
      </c>
      <c r="F15" s="82" t="n">
        <v>0</v>
      </c>
      <c r="G15" s="82" t="n">
        <v>0</v>
      </c>
      <c r="H15" s="82" t="n">
        <v>0</v>
      </c>
      <c r="I15" s="82" t="n">
        <v>0</v>
      </c>
      <c r="J15" s="82" t="n">
        <v>0</v>
      </c>
      <c r="K15" s="82" t="n">
        <v>0</v>
      </c>
      <c r="L15" s="82" t="n">
        <v>0</v>
      </c>
      <c r="M15" s="82" t="n">
        <v>0</v>
      </c>
      <c r="N15" s="82" t="n">
        <v>0</v>
      </c>
      <c r="O15" s="82" t="n">
        <v>0</v>
      </c>
      <c r="P15" s="82" t="n">
        <v>0</v>
      </c>
      <c r="Q15" s="82" t="n">
        <v>700</v>
      </c>
      <c r="R15" s="82" t="n">
        <v>2100</v>
      </c>
      <c r="S15" s="82" t="n">
        <v>0</v>
      </c>
      <c r="T15" s="82" t="n">
        <v>350</v>
      </c>
      <c r="U15" s="82" t="n">
        <v>0</v>
      </c>
    </row>
    <row r="16" customFormat="false" ht="15" hidden="false" customHeight="true" outlineLevel="0" collapsed="false">
      <c r="B16" s="44" t="s">
        <v>206</v>
      </c>
      <c r="C16" s="82" t="n">
        <v>0</v>
      </c>
      <c r="D16" s="82" t="n">
        <v>0</v>
      </c>
      <c r="E16" s="82" t="n">
        <v>1110</v>
      </c>
      <c r="F16" s="82" t="n">
        <v>0</v>
      </c>
      <c r="G16" s="82" t="n">
        <v>300</v>
      </c>
      <c r="H16" s="82" t="n">
        <v>0</v>
      </c>
      <c r="I16" s="82" t="n">
        <v>0</v>
      </c>
      <c r="J16" s="82" t="n">
        <v>0</v>
      </c>
      <c r="K16" s="82" t="n">
        <v>0</v>
      </c>
      <c r="L16" s="82" t="n">
        <v>50</v>
      </c>
      <c r="M16" s="82" t="n">
        <v>0</v>
      </c>
      <c r="N16" s="82" t="n">
        <v>750</v>
      </c>
      <c r="O16" s="82" t="n">
        <v>1050</v>
      </c>
      <c r="P16" s="82" t="n">
        <v>700</v>
      </c>
      <c r="Q16" s="82" t="n">
        <v>950</v>
      </c>
      <c r="R16" s="82" t="n">
        <v>400</v>
      </c>
      <c r="S16" s="82" t="n">
        <v>550</v>
      </c>
      <c r="T16" s="82" t="n">
        <v>600</v>
      </c>
      <c r="U16" s="82" t="n">
        <v>900</v>
      </c>
    </row>
    <row r="18" customFormat="false" ht="15" hidden="false" customHeight="true" outlineLevel="0" collapsed="false">
      <c r="B18" s="80" t="s">
        <v>207</v>
      </c>
      <c r="C18" s="81" t="n">
        <v>0</v>
      </c>
      <c r="D18" s="81" t="n">
        <v>0</v>
      </c>
      <c r="E18" s="81" t="n">
        <v>0</v>
      </c>
      <c r="F18" s="81" t="n">
        <v>0</v>
      </c>
      <c r="G18" s="81" t="n">
        <v>0</v>
      </c>
      <c r="H18" s="81" t="n">
        <v>0</v>
      </c>
      <c r="I18" s="81" t="n">
        <v>0</v>
      </c>
      <c r="J18" s="81" t="n">
        <v>0</v>
      </c>
      <c r="K18" s="81" t="n">
        <v>0</v>
      </c>
      <c r="L18" s="81" t="n">
        <v>0</v>
      </c>
      <c r="M18" s="81" t="n">
        <v>0</v>
      </c>
      <c r="N18" s="81" t="n">
        <v>0</v>
      </c>
      <c r="O18" s="81" t="n">
        <v>0</v>
      </c>
      <c r="P18" s="81" t="n">
        <v>0</v>
      </c>
      <c r="Q18" s="81" t="n">
        <v>0</v>
      </c>
      <c r="R18" s="81" t="n">
        <v>0</v>
      </c>
      <c r="S18" s="81" t="n">
        <v>0</v>
      </c>
      <c r="T18" s="81" t="n">
        <v>0</v>
      </c>
      <c r="U18" s="81" t="n">
        <v>0</v>
      </c>
    </row>
    <row r="19" customFormat="false" ht="15" hidden="false" customHeight="true" outlineLevel="0" collapsed="false">
      <c r="B19" s="44" t="s">
        <v>138</v>
      </c>
      <c r="C19" s="82" t="n">
        <v>0</v>
      </c>
      <c r="D19" s="82" t="n">
        <v>0</v>
      </c>
      <c r="E19" s="82" t="n">
        <v>0</v>
      </c>
      <c r="F19" s="82" t="n">
        <v>0</v>
      </c>
      <c r="G19" s="82" t="n">
        <v>0</v>
      </c>
      <c r="H19" s="82" t="n">
        <v>0</v>
      </c>
      <c r="I19" s="82" t="n">
        <v>0</v>
      </c>
      <c r="J19" s="82" t="n">
        <v>0</v>
      </c>
      <c r="K19" s="82" t="n">
        <v>0</v>
      </c>
      <c r="L19" s="82" t="n">
        <v>0</v>
      </c>
      <c r="M19" s="82" t="n">
        <v>0</v>
      </c>
      <c r="N19" s="82" t="n">
        <v>0</v>
      </c>
      <c r="O19" s="82" t="n">
        <v>0</v>
      </c>
      <c r="P19" s="82" t="n">
        <v>0</v>
      </c>
      <c r="Q19" s="82" t="n">
        <v>65741.64</v>
      </c>
      <c r="R19" s="82" t="n">
        <v>9110</v>
      </c>
      <c r="S19" s="82" t="n">
        <v>0</v>
      </c>
      <c r="T19" s="82" t="n">
        <v>0</v>
      </c>
      <c r="U19" s="82" t="n">
        <v>0</v>
      </c>
    </row>
    <row r="20" customFormat="false" ht="15" hidden="false" customHeight="true" outlineLevel="0" collapsed="false">
      <c r="B20" s="44" t="s">
        <v>139</v>
      </c>
      <c r="C20" s="82" t="n">
        <v>0</v>
      </c>
      <c r="D20" s="82" t="n">
        <v>0</v>
      </c>
      <c r="E20" s="82" t="n">
        <v>0</v>
      </c>
      <c r="F20" s="82" t="n">
        <v>0</v>
      </c>
      <c r="G20" s="82" t="n">
        <v>0</v>
      </c>
      <c r="H20" s="82" t="n">
        <v>0</v>
      </c>
      <c r="I20" s="82" t="n">
        <v>0</v>
      </c>
      <c r="J20" s="82" t="n">
        <v>0</v>
      </c>
      <c r="K20" s="82" t="n">
        <v>0</v>
      </c>
      <c r="L20" s="82" t="n">
        <v>0</v>
      </c>
      <c r="M20" s="82" t="n">
        <v>0</v>
      </c>
      <c r="N20" s="82" t="n">
        <v>0</v>
      </c>
      <c r="O20" s="82" t="n">
        <v>0</v>
      </c>
      <c r="P20" s="82" t="n">
        <v>0</v>
      </c>
      <c r="Q20" s="82" t="n">
        <v>1120</v>
      </c>
      <c r="R20" s="82" t="n">
        <v>2720</v>
      </c>
      <c r="S20" s="82" t="n">
        <v>805</v>
      </c>
      <c r="T20" s="82" t="n">
        <v>745</v>
      </c>
      <c r="U20" s="82" t="n">
        <v>500</v>
      </c>
    </row>
    <row r="21" customFormat="false" ht="15" hidden="false" customHeight="true" outlineLevel="0" collapsed="false">
      <c r="B21" s="44" t="s">
        <v>140</v>
      </c>
      <c r="C21" s="82" t="n">
        <v>0</v>
      </c>
      <c r="D21" s="82" t="n">
        <v>18800</v>
      </c>
      <c r="E21" s="82" t="n">
        <v>0</v>
      </c>
      <c r="F21" s="82" t="n">
        <v>0</v>
      </c>
      <c r="G21" s="82" t="n">
        <v>0</v>
      </c>
      <c r="H21" s="82" t="n">
        <v>19080</v>
      </c>
      <c r="I21" s="82" t="n">
        <v>31080</v>
      </c>
      <c r="J21" s="82" t="n">
        <v>0</v>
      </c>
      <c r="K21" s="82" t="n">
        <v>0</v>
      </c>
      <c r="L21" s="82" t="n">
        <v>0</v>
      </c>
      <c r="M21" s="82" t="n">
        <v>0</v>
      </c>
      <c r="N21" s="82" t="n">
        <v>0</v>
      </c>
      <c r="O21" s="82" t="n">
        <v>0</v>
      </c>
      <c r="P21" s="82" t="n">
        <v>0</v>
      </c>
      <c r="Q21" s="82" t="n">
        <v>0</v>
      </c>
      <c r="R21" s="82" t="n">
        <v>0</v>
      </c>
      <c r="S21" s="82" t="n">
        <v>0</v>
      </c>
      <c r="T21" s="82" t="n">
        <v>0</v>
      </c>
      <c r="U21" s="82" t="n">
        <v>0</v>
      </c>
    </row>
    <row r="22" customFormat="false" ht="15" hidden="false" customHeight="true" outlineLevel="0" collapsed="false">
      <c r="B22" s="44" t="s">
        <v>141</v>
      </c>
      <c r="C22" s="82" t="n">
        <v>0</v>
      </c>
      <c r="D22" s="82" t="n">
        <v>0</v>
      </c>
      <c r="E22" s="82" t="n">
        <v>0</v>
      </c>
      <c r="F22" s="82" t="n">
        <v>0</v>
      </c>
      <c r="G22" s="82" t="n">
        <v>0</v>
      </c>
      <c r="H22" s="82" t="n">
        <v>0</v>
      </c>
      <c r="I22" s="82" t="n">
        <v>0</v>
      </c>
      <c r="J22" s="82" t="n">
        <v>5220</v>
      </c>
      <c r="K22" s="82" t="n">
        <v>5220</v>
      </c>
      <c r="L22" s="82" t="n">
        <v>5220</v>
      </c>
      <c r="M22" s="82" t="n">
        <v>5220</v>
      </c>
      <c r="N22" s="82" t="n">
        <v>5220</v>
      </c>
      <c r="O22" s="82" t="n">
        <v>5220</v>
      </c>
      <c r="P22" s="82" t="n">
        <v>5220</v>
      </c>
      <c r="Q22" s="82" t="n">
        <v>5220</v>
      </c>
      <c r="R22" s="82" t="n">
        <v>0</v>
      </c>
      <c r="S22" s="82" t="n">
        <v>0</v>
      </c>
      <c r="T22" s="82" t="n">
        <v>7100</v>
      </c>
      <c r="U22" s="82" t="n">
        <v>6960</v>
      </c>
    </row>
    <row r="23" customFormat="false" ht="15" hidden="false" customHeight="true" outlineLevel="0" collapsed="false">
      <c r="B23" s="44" t="s">
        <v>142</v>
      </c>
      <c r="C23" s="82" t="n">
        <v>0</v>
      </c>
      <c r="D23" s="82" t="n">
        <v>2160</v>
      </c>
      <c r="E23" s="82" t="n">
        <v>2340</v>
      </c>
      <c r="F23" s="82" t="n">
        <v>2160</v>
      </c>
      <c r="G23" s="82" t="n">
        <v>2340</v>
      </c>
      <c r="H23" s="82" t="n">
        <v>2340</v>
      </c>
      <c r="I23" s="82" t="n">
        <v>2340</v>
      </c>
      <c r="J23" s="82" t="n">
        <v>2340</v>
      </c>
      <c r="K23" s="82" t="n">
        <v>2340</v>
      </c>
      <c r="L23" s="82" t="n">
        <v>2340</v>
      </c>
      <c r="M23" s="82" t="n">
        <v>2340</v>
      </c>
      <c r="N23" s="82" t="n">
        <v>2340</v>
      </c>
      <c r="O23" s="82" t="n">
        <v>2340</v>
      </c>
      <c r="P23" s="82" t="n">
        <v>2340</v>
      </c>
      <c r="Q23" s="82" t="n">
        <v>1799.1</v>
      </c>
      <c r="R23" s="82" t="n">
        <v>0</v>
      </c>
      <c r="S23" s="82" t="n">
        <v>0</v>
      </c>
      <c r="T23" s="82" t="n">
        <v>0</v>
      </c>
      <c r="U23" s="82" t="n">
        <v>0</v>
      </c>
    </row>
    <row r="24" customFormat="false" ht="15" hidden="false" customHeight="true" outlineLevel="0" collapsed="false">
      <c r="B24" s="44" t="s">
        <v>143</v>
      </c>
      <c r="C24" s="82" t="n">
        <v>11305.26</v>
      </c>
      <c r="D24" s="82" t="n">
        <v>10793.43</v>
      </c>
      <c r="E24" s="82" t="n">
        <v>9633</v>
      </c>
      <c r="F24" s="82" t="n">
        <v>19758</v>
      </c>
      <c r="G24" s="82" t="n">
        <v>19792</v>
      </c>
      <c r="H24" s="82" t="n">
        <v>19784</v>
      </c>
      <c r="I24" s="82" t="n">
        <v>17203</v>
      </c>
      <c r="J24" s="82" t="n">
        <v>21260</v>
      </c>
      <c r="K24" s="82" t="n">
        <v>25615</v>
      </c>
      <c r="L24" s="82" t="n">
        <v>21971</v>
      </c>
      <c r="M24" s="82" t="n">
        <v>22536.42</v>
      </c>
      <c r="N24" s="82" t="n">
        <v>24617</v>
      </c>
      <c r="O24" s="82" t="n">
        <v>23816</v>
      </c>
      <c r="P24" s="82" t="n">
        <v>22449</v>
      </c>
      <c r="Q24" s="82" t="n">
        <v>19619</v>
      </c>
      <c r="R24" s="82" t="n">
        <v>20739</v>
      </c>
      <c r="S24" s="82" t="n">
        <v>9921</v>
      </c>
      <c r="T24" s="82" t="n">
        <v>23177</v>
      </c>
      <c r="U24" s="82" t="n">
        <v>22888</v>
      </c>
    </row>
    <row r="25" customFormat="false" ht="15" hidden="false" customHeight="true" outlineLevel="0" collapsed="false">
      <c r="B25" s="44" t="s">
        <v>144</v>
      </c>
      <c r="C25" s="82" t="n">
        <v>17000</v>
      </c>
      <c r="D25" s="82" t="n">
        <v>17000</v>
      </c>
      <c r="E25" s="82" t="n">
        <v>17000</v>
      </c>
      <c r="F25" s="82" t="n">
        <v>27000</v>
      </c>
      <c r="G25" s="82" t="n">
        <v>28900</v>
      </c>
      <c r="H25" s="82" t="n">
        <v>27000</v>
      </c>
      <c r="I25" s="82" t="n">
        <v>29500</v>
      </c>
      <c r="J25" s="82" t="n">
        <v>18500</v>
      </c>
      <c r="K25" s="82" t="n">
        <v>23000</v>
      </c>
      <c r="L25" s="82" t="n">
        <v>39000</v>
      </c>
      <c r="M25" s="82" t="n">
        <v>36050</v>
      </c>
      <c r="N25" s="82" t="n">
        <v>24050</v>
      </c>
      <c r="O25" s="82" t="n">
        <v>24200</v>
      </c>
      <c r="P25" s="82" t="n">
        <v>30398</v>
      </c>
      <c r="Q25" s="82" t="n">
        <v>20800</v>
      </c>
      <c r="R25" s="82" t="n">
        <v>20720</v>
      </c>
      <c r="S25" s="82" t="n">
        <v>24060</v>
      </c>
      <c r="T25" s="82" t="n">
        <v>30610</v>
      </c>
      <c r="U25" s="82" t="n">
        <v>21750</v>
      </c>
    </row>
    <row r="26" customFormat="false" ht="15" hidden="false" customHeight="true" outlineLevel="0" collapsed="false">
      <c r="B26" s="44" t="s">
        <v>208</v>
      </c>
      <c r="C26" s="82" t="n">
        <v>0</v>
      </c>
      <c r="D26" s="82" t="n">
        <v>0</v>
      </c>
      <c r="E26" s="82" t="n">
        <v>1110</v>
      </c>
      <c r="F26" s="82" t="n">
        <v>0</v>
      </c>
      <c r="G26" s="82" t="n">
        <v>300</v>
      </c>
      <c r="H26" s="82" t="n">
        <v>0</v>
      </c>
      <c r="I26" s="82" t="n">
        <v>0</v>
      </c>
      <c r="J26" s="82" t="n">
        <v>0</v>
      </c>
      <c r="K26" s="82" t="n">
        <v>0</v>
      </c>
      <c r="L26" s="82" t="n">
        <v>50</v>
      </c>
      <c r="M26" s="82" t="n">
        <v>0</v>
      </c>
      <c r="N26" s="82" t="n">
        <v>750</v>
      </c>
      <c r="O26" s="82" t="n">
        <v>1050</v>
      </c>
      <c r="P26" s="82" t="n">
        <v>700</v>
      </c>
      <c r="Q26" s="82" t="n">
        <v>950</v>
      </c>
      <c r="R26" s="82" t="n">
        <v>400</v>
      </c>
      <c r="S26" s="82" t="n">
        <v>550</v>
      </c>
      <c r="T26" s="82" t="n">
        <v>600</v>
      </c>
      <c r="U26" s="82" t="n">
        <v>900</v>
      </c>
    </row>
    <row r="27" customFormat="false" ht="15" hidden="false" customHeight="true" outlineLevel="0" collapsed="false">
      <c r="B27" s="44" t="s">
        <v>145</v>
      </c>
      <c r="C27" s="82" t="n">
        <v>6543</v>
      </c>
      <c r="D27" s="82" t="n">
        <v>6689</v>
      </c>
      <c r="E27" s="82" t="n">
        <v>10604</v>
      </c>
      <c r="F27" s="82" t="n">
        <v>28190</v>
      </c>
      <c r="G27" s="82" t="n">
        <v>21448</v>
      </c>
      <c r="H27" s="82" t="n">
        <v>17261</v>
      </c>
      <c r="I27" s="82" t="n">
        <v>19838</v>
      </c>
      <c r="J27" s="82" t="n">
        <v>14760</v>
      </c>
      <c r="K27" s="82" t="n">
        <v>12717</v>
      </c>
      <c r="L27" s="82" t="n">
        <v>7124</v>
      </c>
      <c r="M27" s="82" t="n">
        <v>6685</v>
      </c>
      <c r="N27" s="82" t="n">
        <v>23659</v>
      </c>
      <c r="O27" s="82" t="n">
        <v>21083</v>
      </c>
      <c r="P27" s="82" t="n">
        <v>15306</v>
      </c>
      <c r="Q27" s="82" t="n">
        <v>0</v>
      </c>
      <c r="R27" s="82" t="n">
        <v>0</v>
      </c>
      <c r="S27" s="82" t="n">
        <v>0</v>
      </c>
      <c r="T27" s="82" t="n">
        <v>0</v>
      </c>
      <c r="U27" s="82" t="n">
        <v>0</v>
      </c>
    </row>
    <row r="28" customFormat="false" ht="15" hidden="false" customHeight="true" outlineLevel="0" collapsed="false">
      <c r="B28" s="44" t="s">
        <v>146</v>
      </c>
      <c r="C28" s="82" t="n">
        <v>0</v>
      </c>
      <c r="D28" s="82" t="n">
        <v>0</v>
      </c>
      <c r="E28" s="82" t="n">
        <v>0</v>
      </c>
      <c r="F28" s="82" t="n">
        <v>0</v>
      </c>
      <c r="G28" s="82" t="n">
        <v>0</v>
      </c>
      <c r="H28" s="82" t="n">
        <v>0</v>
      </c>
      <c r="I28" s="82" t="n">
        <v>0</v>
      </c>
      <c r="J28" s="82" t="n">
        <v>0</v>
      </c>
      <c r="K28" s="82" t="n">
        <v>0</v>
      </c>
      <c r="L28" s="82" t="n">
        <v>0</v>
      </c>
      <c r="M28" s="82" t="n">
        <v>0</v>
      </c>
      <c r="N28" s="82" t="n">
        <v>0</v>
      </c>
      <c r="O28" s="82" t="n">
        <v>0</v>
      </c>
      <c r="P28" s="82" t="n">
        <v>0</v>
      </c>
      <c r="Q28" s="82" t="n">
        <v>6639.8</v>
      </c>
      <c r="R28" s="82" t="n">
        <v>8063</v>
      </c>
      <c r="S28" s="82" t="n">
        <v>8241</v>
      </c>
      <c r="T28" s="82" t="n">
        <v>1751</v>
      </c>
      <c r="U28" s="82" t="n">
        <v>3113</v>
      </c>
    </row>
    <row r="29" customFormat="false" ht="15" hidden="false" customHeight="true" outlineLevel="0" collapsed="false">
      <c r="B29" s="44" t="s">
        <v>147</v>
      </c>
      <c r="C29" s="82" t="n">
        <v>2800</v>
      </c>
      <c r="D29" s="82" t="n">
        <v>2700</v>
      </c>
      <c r="E29" s="82" t="n">
        <v>2800</v>
      </c>
      <c r="F29" s="82" t="n">
        <v>2800</v>
      </c>
      <c r="G29" s="82" t="n">
        <v>2800</v>
      </c>
      <c r="H29" s="82" t="n">
        <v>2800</v>
      </c>
      <c r="I29" s="82" t="n">
        <v>3150</v>
      </c>
      <c r="J29" s="82" t="n">
        <v>2800</v>
      </c>
      <c r="K29" s="82" t="n">
        <v>3500</v>
      </c>
      <c r="L29" s="82" t="n">
        <v>2800</v>
      </c>
      <c r="M29" s="82" t="n">
        <v>3150</v>
      </c>
      <c r="N29" s="82" t="n">
        <v>3500</v>
      </c>
      <c r="O29" s="82" t="n">
        <v>2800</v>
      </c>
      <c r="P29" s="82" t="n">
        <v>3150</v>
      </c>
      <c r="Q29" s="82" t="n">
        <v>2450</v>
      </c>
      <c r="R29" s="82" t="n">
        <v>2220</v>
      </c>
      <c r="S29" s="82" t="n">
        <v>2660</v>
      </c>
      <c r="T29" s="82" t="n">
        <v>3040</v>
      </c>
      <c r="U29" s="82" t="n">
        <v>2340</v>
      </c>
    </row>
    <row r="30" customFormat="false" ht="15" hidden="false" customHeight="true" outlineLevel="0" collapsed="false">
      <c r="B30" s="44" t="s">
        <v>148</v>
      </c>
      <c r="C30" s="82" t="n">
        <v>16753</v>
      </c>
      <c r="D30" s="82" t="n">
        <v>4780</v>
      </c>
      <c r="E30" s="82" t="n">
        <v>11540</v>
      </c>
      <c r="F30" s="82" t="n">
        <v>5731</v>
      </c>
      <c r="G30" s="82" t="n">
        <v>0</v>
      </c>
      <c r="H30" s="82" t="n">
        <v>539</v>
      </c>
      <c r="I30" s="82" t="n">
        <v>1400</v>
      </c>
      <c r="J30" s="82" t="n">
        <v>9000</v>
      </c>
      <c r="K30" s="82" t="n">
        <v>1250</v>
      </c>
      <c r="L30" s="82" t="n">
        <v>1960</v>
      </c>
      <c r="M30" s="82" t="n">
        <v>2395</v>
      </c>
      <c r="N30" s="82" t="n">
        <v>9140</v>
      </c>
      <c r="O30" s="82" t="n">
        <v>26762</v>
      </c>
      <c r="P30" s="82" t="n">
        <v>4251</v>
      </c>
      <c r="Q30" s="82" t="n">
        <v>14771</v>
      </c>
      <c r="R30" s="82" t="n">
        <v>862</v>
      </c>
      <c r="S30" s="82" t="n">
        <v>5000</v>
      </c>
      <c r="T30" s="82" t="n">
        <v>2160</v>
      </c>
      <c r="U30" s="82" t="n">
        <v>5221</v>
      </c>
    </row>
    <row r="31" customFormat="false" ht="15" hidden="false" customHeight="true" outlineLevel="0" collapsed="false">
      <c r="B31" s="44" t="s">
        <v>149</v>
      </c>
      <c r="C31" s="82" t="n">
        <v>0</v>
      </c>
      <c r="D31" s="82" t="n">
        <v>0</v>
      </c>
      <c r="E31" s="82" t="n">
        <v>0</v>
      </c>
      <c r="F31" s="82" t="n">
        <v>0</v>
      </c>
      <c r="G31" s="82" t="n">
        <v>0</v>
      </c>
      <c r="H31" s="82" t="n">
        <v>0</v>
      </c>
      <c r="I31" s="82" t="n">
        <v>0</v>
      </c>
      <c r="J31" s="82" t="n">
        <v>0</v>
      </c>
      <c r="K31" s="82" t="n">
        <v>0</v>
      </c>
      <c r="L31" s="82" t="n">
        <v>0</v>
      </c>
      <c r="M31" s="82" t="n">
        <v>0</v>
      </c>
      <c r="N31" s="82" t="n">
        <v>0</v>
      </c>
      <c r="O31" s="82" t="n">
        <v>0</v>
      </c>
      <c r="P31" s="82" t="n">
        <v>0</v>
      </c>
      <c r="Q31" s="82" t="n">
        <v>423.7</v>
      </c>
      <c r="R31" s="82" t="n">
        <v>6012</v>
      </c>
      <c r="S31" s="82" t="n">
        <v>5187</v>
      </c>
      <c r="T31" s="82" t="n">
        <v>3091</v>
      </c>
      <c r="U31" s="82" t="n">
        <v>0</v>
      </c>
    </row>
    <row r="32" customFormat="false" ht="15" hidden="false" customHeight="true" outlineLevel="0" collapsed="false">
      <c r="B32" s="44" t="s">
        <v>150</v>
      </c>
      <c r="C32" s="82" t="n">
        <v>0</v>
      </c>
      <c r="D32" s="82" t="n">
        <v>0</v>
      </c>
      <c r="E32" s="82" t="n">
        <v>0</v>
      </c>
      <c r="F32" s="82" t="n">
        <v>0</v>
      </c>
      <c r="G32" s="82" t="n">
        <v>0</v>
      </c>
      <c r="H32" s="82" t="n">
        <v>0</v>
      </c>
      <c r="I32" s="82" t="n">
        <v>0</v>
      </c>
      <c r="J32" s="82" t="n">
        <v>0</v>
      </c>
      <c r="K32" s="82" t="n">
        <v>0</v>
      </c>
      <c r="L32" s="82" t="n">
        <v>0</v>
      </c>
      <c r="M32" s="82" t="n">
        <v>0</v>
      </c>
      <c r="N32" s="82" t="n">
        <v>0</v>
      </c>
      <c r="O32" s="82" t="n">
        <v>0</v>
      </c>
      <c r="P32" s="82" t="n">
        <v>0</v>
      </c>
      <c r="Q32" s="82" t="n">
        <v>1279</v>
      </c>
      <c r="R32" s="82" t="n">
        <v>8359</v>
      </c>
      <c r="S32" s="82" t="n">
        <v>1478</v>
      </c>
      <c r="T32" s="82" t="n">
        <v>0</v>
      </c>
      <c r="U32" s="82" t="n">
        <v>0</v>
      </c>
    </row>
    <row r="33" customFormat="false" ht="15" hidden="false" customHeight="true" outlineLevel="0" collapsed="false">
      <c r="B33" s="44" t="s">
        <v>151</v>
      </c>
      <c r="C33" s="82" t="n">
        <v>11900</v>
      </c>
      <c r="D33" s="82" t="n">
        <v>792</v>
      </c>
      <c r="E33" s="82" t="n">
        <v>4356</v>
      </c>
      <c r="F33" s="82" t="n">
        <v>10296</v>
      </c>
      <c r="G33" s="82" t="n">
        <v>8745</v>
      </c>
      <c r="H33" s="82" t="n">
        <v>10032</v>
      </c>
      <c r="I33" s="82" t="n">
        <v>8778</v>
      </c>
      <c r="J33" s="82" t="n">
        <v>11995.5</v>
      </c>
      <c r="K33" s="82" t="n">
        <v>16665</v>
      </c>
      <c r="L33" s="82" t="n">
        <v>6105</v>
      </c>
      <c r="M33" s="82" t="n">
        <v>21762.25</v>
      </c>
      <c r="N33" s="82" t="n">
        <v>16090</v>
      </c>
      <c r="O33" s="82" t="n">
        <v>17440</v>
      </c>
      <c r="P33" s="82" t="n">
        <v>16160</v>
      </c>
      <c r="Q33" s="82" t="n">
        <v>20530</v>
      </c>
      <c r="R33" s="82" t="n">
        <v>27440</v>
      </c>
      <c r="S33" s="82" t="n">
        <v>26585</v>
      </c>
      <c r="T33" s="82" t="n">
        <v>33558</v>
      </c>
      <c r="U33" s="82" t="n">
        <v>35541</v>
      </c>
    </row>
    <row r="34" customFormat="false" ht="15" hidden="false" customHeight="true" outlineLevel="0" collapsed="false">
      <c r="B34" s="44" t="s">
        <v>152</v>
      </c>
      <c r="C34" s="82" t="n">
        <v>0</v>
      </c>
      <c r="D34" s="82" t="n">
        <v>0</v>
      </c>
      <c r="E34" s="82" t="n">
        <v>0</v>
      </c>
      <c r="F34" s="82" t="n">
        <v>0</v>
      </c>
      <c r="G34" s="82" t="n">
        <v>0</v>
      </c>
      <c r="H34" s="82" t="n">
        <v>0</v>
      </c>
      <c r="I34" s="82" t="n">
        <v>0</v>
      </c>
      <c r="J34" s="82" t="n">
        <v>0</v>
      </c>
      <c r="K34" s="82" t="n">
        <v>0</v>
      </c>
      <c r="L34" s="82" t="n">
        <v>0</v>
      </c>
      <c r="M34" s="82" t="n">
        <v>0</v>
      </c>
      <c r="N34" s="82" t="n">
        <v>0</v>
      </c>
      <c r="O34" s="82" t="n">
        <v>0</v>
      </c>
      <c r="P34" s="82" t="n">
        <v>0</v>
      </c>
      <c r="Q34" s="82" t="n">
        <v>0</v>
      </c>
      <c r="R34" s="82" t="n">
        <v>7200</v>
      </c>
      <c r="S34" s="82" t="n">
        <v>0</v>
      </c>
      <c r="T34" s="82" t="n">
        <v>0</v>
      </c>
      <c r="U34" s="82" t="n">
        <v>0</v>
      </c>
    </row>
    <row r="35" customFormat="false" ht="15" hidden="false" customHeight="true" outlineLevel="0" collapsed="false">
      <c r="B35" s="44" t="s">
        <v>153</v>
      </c>
      <c r="C35" s="82" t="n">
        <v>3565</v>
      </c>
      <c r="D35" s="82" t="n">
        <v>6569</v>
      </c>
      <c r="E35" s="82" t="n">
        <v>3471</v>
      </c>
      <c r="F35" s="82" t="n">
        <v>1856</v>
      </c>
      <c r="G35" s="82" t="n">
        <v>1262</v>
      </c>
      <c r="H35" s="82" t="n">
        <v>9432</v>
      </c>
      <c r="I35" s="82" t="n">
        <v>4286</v>
      </c>
      <c r="J35" s="82" t="n">
        <v>18966</v>
      </c>
      <c r="K35" s="82" t="n">
        <v>1904</v>
      </c>
      <c r="L35" s="82" t="n">
        <v>13992</v>
      </c>
      <c r="M35" s="82" t="n">
        <v>3584</v>
      </c>
      <c r="N35" s="82" t="n">
        <v>16540</v>
      </c>
      <c r="O35" s="82" t="n">
        <v>4334</v>
      </c>
      <c r="P35" s="82" t="n">
        <v>17817</v>
      </c>
      <c r="Q35" s="82" t="n">
        <v>2969</v>
      </c>
      <c r="R35" s="82" t="n">
        <v>16674</v>
      </c>
      <c r="S35" s="82" t="n">
        <v>2351</v>
      </c>
      <c r="T35" s="82" t="n">
        <v>15591</v>
      </c>
      <c r="U35" s="82" t="n">
        <v>1675</v>
      </c>
    </row>
    <row r="36" customFormat="false" ht="15" hidden="false" customHeight="true" outlineLevel="0" collapsed="false">
      <c r="B36" s="44" t="s">
        <v>154</v>
      </c>
      <c r="C36" s="82" t="n">
        <v>0</v>
      </c>
      <c r="D36" s="82" t="n">
        <v>0</v>
      </c>
      <c r="E36" s="82" t="n">
        <v>0</v>
      </c>
      <c r="F36" s="82" t="n">
        <v>0</v>
      </c>
      <c r="G36" s="82" t="n">
        <v>0</v>
      </c>
      <c r="H36" s="82" t="n">
        <v>0</v>
      </c>
      <c r="I36" s="82" t="n">
        <v>0</v>
      </c>
      <c r="J36" s="82" t="n">
        <v>0</v>
      </c>
      <c r="K36" s="82" t="n">
        <v>0</v>
      </c>
      <c r="L36" s="82" t="n">
        <v>0</v>
      </c>
      <c r="M36" s="82" t="n">
        <v>0</v>
      </c>
      <c r="N36" s="82" t="n">
        <v>0</v>
      </c>
      <c r="O36" s="82" t="n">
        <v>0</v>
      </c>
      <c r="P36" s="82" t="n">
        <v>0</v>
      </c>
      <c r="Q36" s="82" t="n">
        <v>0</v>
      </c>
      <c r="R36" s="82" t="n">
        <v>0</v>
      </c>
      <c r="S36" s="82" t="n">
        <v>17408</v>
      </c>
      <c r="T36" s="82" t="n">
        <v>13452</v>
      </c>
      <c r="U36" s="82" t="n">
        <v>15870</v>
      </c>
    </row>
    <row r="37" customFormat="false" ht="15" hidden="false" customHeight="true" outlineLevel="0" collapsed="false">
      <c r="B37" s="44" t="s">
        <v>209</v>
      </c>
      <c r="C37" s="82" t="n">
        <v>0</v>
      </c>
      <c r="D37" s="82" t="n">
        <v>0</v>
      </c>
      <c r="E37" s="82" t="n">
        <v>0</v>
      </c>
      <c r="F37" s="82" t="n">
        <v>0</v>
      </c>
      <c r="G37" s="82" t="n">
        <v>0</v>
      </c>
      <c r="H37" s="82" t="n">
        <v>0</v>
      </c>
      <c r="I37" s="82" t="n">
        <v>0</v>
      </c>
      <c r="J37" s="82" t="n">
        <v>0</v>
      </c>
      <c r="K37" s="82" t="n">
        <v>0</v>
      </c>
      <c r="L37" s="82" t="n">
        <v>0</v>
      </c>
      <c r="M37" s="82" t="n">
        <v>0</v>
      </c>
      <c r="N37" s="82" t="n">
        <v>0</v>
      </c>
      <c r="O37" s="82" t="n">
        <v>0</v>
      </c>
      <c r="P37" s="82" t="n">
        <v>0</v>
      </c>
      <c r="Q37" s="82" t="n">
        <v>44332.45</v>
      </c>
      <c r="R37" s="82" t="n">
        <v>40000</v>
      </c>
      <c r="S37" s="82" t="n">
        <v>40000</v>
      </c>
      <c r="T37" s="82" t="n">
        <v>40000</v>
      </c>
      <c r="U37" s="82" t="n">
        <v>40000</v>
      </c>
    </row>
    <row r="39" customFormat="false" ht="15" hidden="false" customHeight="true" outlineLevel="0" collapsed="false">
      <c r="B39" s="80" t="s">
        <v>210</v>
      </c>
      <c r="C39" s="81" t="n">
        <v>0</v>
      </c>
      <c r="D39" s="81" t="n">
        <v>0</v>
      </c>
      <c r="E39" s="81" t="n">
        <v>0</v>
      </c>
      <c r="F39" s="81" t="n">
        <v>0</v>
      </c>
      <c r="G39" s="81" t="n">
        <v>0</v>
      </c>
      <c r="H39" s="81" t="n">
        <v>0</v>
      </c>
      <c r="I39" s="81" t="n">
        <v>0</v>
      </c>
      <c r="J39" s="81" t="n">
        <v>0</v>
      </c>
      <c r="K39" s="81" t="n">
        <v>0</v>
      </c>
      <c r="L39" s="81" t="n">
        <v>0</v>
      </c>
      <c r="M39" s="81" t="n">
        <v>0</v>
      </c>
      <c r="N39" s="81" t="n">
        <v>0</v>
      </c>
      <c r="O39" s="81" t="n">
        <v>0</v>
      </c>
      <c r="P39" s="81" t="n">
        <v>0</v>
      </c>
      <c r="Q39" s="81" t="n">
        <v>0</v>
      </c>
      <c r="R39" s="81" t="n">
        <v>0</v>
      </c>
      <c r="S39" s="81" t="n">
        <v>0</v>
      </c>
      <c r="T39" s="81" t="n">
        <v>0</v>
      </c>
      <c r="U39" s="81" t="n">
        <v>0</v>
      </c>
    </row>
    <row r="40" customFormat="false" ht="15" hidden="false" customHeight="true" outlineLevel="0" collapsed="false">
      <c r="B40" s="44" t="s">
        <v>211</v>
      </c>
      <c r="C40" s="82" t="n">
        <v>17500</v>
      </c>
      <c r="D40" s="82" t="n">
        <v>18849</v>
      </c>
      <c r="E40" s="82" t="n">
        <v>17500</v>
      </c>
      <c r="F40" s="82" t="n">
        <v>17500</v>
      </c>
      <c r="G40" s="82" t="n">
        <v>17500</v>
      </c>
      <c r="H40" s="82" t="n">
        <v>24397</v>
      </c>
      <c r="I40" s="82" t="n">
        <v>28897</v>
      </c>
      <c r="J40" s="82" t="n">
        <v>18250</v>
      </c>
      <c r="K40" s="82" t="n">
        <v>18250</v>
      </c>
      <c r="L40" s="82" t="n">
        <v>47714</v>
      </c>
      <c r="M40" s="82" t="n">
        <v>60216</v>
      </c>
      <c r="N40" s="82" t="n">
        <v>18250</v>
      </c>
      <c r="O40" s="82" t="n">
        <v>30948</v>
      </c>
      <c r="P40" s="82" t="n">
        <v>18250</v>
      </c>
      <c r="Q40" s="82" t="n">
        <v>0</v>
      </c>
      <c r="R40" s="82" t="n">
        <v>0</v>
      </c>
      <c r="S40" s="82" t="n">
        <v>0</v>
      </c>
      <c r="T40" s="82" t="n">
        <v>0</v>
      </c>
      <c r="U40" s="82" t="n">
        <v>0</v>
      </c>
    </row>
    <row r="41" customFormat="false" ht="15" hidden="false" customHeight="true" outlineLevel="0" collapsed="false">
      <c r="B41" s="44" t="s">
        <v>212</v>
      </c>
      <c r="C41" s="82" t="n">
        <v>6167</v>
      </c>
      <c r="D41" s="82" t="n">
        <v>7952</v>
      </c>
      <c r="E41" s="82" t="n">
        <v>9909</v>
      </c>
      <c r="F41" s="82" t="n">
        <v>4752</v>
      </c>
      <c r="G41" s="82" t="n">
        <v>9157</v>
      </c>
      <c r="H41" s="82" t="n">
        <v>7328</v>
      </c>
      <c r="I41" s="82" t="n">
        <v>5175</v>
      </c>
      <c r="J41" s="82" t="n">
        <v>5441</v>
      </c>
      <c r="K41" s="82" t="n">
        <v>10467</v>
      </c>
      <c r="L41" s="82" t="n">
        <v>14829</v>
      </c>
      <c r="M41" s="82" t="n">
        <v>15665</v>
      </c>
      <c r="N41" s="82" t="n">
        <v>12833</v>
      </c>
      <c r="O41" s="82" t="n">
        <v>16404</v>
      </c>
      <c r="P41" s="82" t="n">
        <v>15165</v>
      </c>
      <c r="Q41" s="82" t="n">
        <v>0</v>
      </c>
      <c r="R41" s="82" t="n">
        <v>0</v>
      </c>
      <c r="S41" s="82" t="n">
        <v>0</v>
      </c>
      <c r="T41" s="82" t="n">
        <v>0</v>
      </c>
      <c r="U41" s="82" t="n">
        <v>0</v>
      </c>
    </row>
    <row r="42" customFormat="false" ht="15" hidden="false" customHeight="true" outlineLevel="0" collapsed="false">
      <c r="B42" s="44" t="s">
        <v>213</v>
      </c>
      <c r="C42" s="82" t="n">
        <v>2482</v>
      </c>
      <c r="D42" s="82" t="n">
        <v>3964</v>
      </c>
      <c r="E42" s="82" t="n">
        <v>700</v>
      </c>
      <c r="F42" s="82" t="n">
        <v>1500</v>
      </c>
      <c r="G42" s="82" t="n">
        <v>2158</v>
      </c>
      <c r="H42" s="82" t="n">
        <v>1500</v>
      </c>
      <c r="I42" s="82" t="n">
        <v>1619</v>
      </c>
      <c r="J42" s="82" t="n">
        <v>4428</v>
      </c>
      <c r="K42" s="82" t="n">
        <v>35552</v>
      </c>
      <c r="L42" s="82" t="n">
        <v>7225</v>
      </c>
      <c r="M42" s="82" t="n">
        <v>5995</v>
      </c>
      <c r="N42" s="82" t="n">
        <v>10300</v>
      </c>
      <c r="O42" s="82" t="n">
        <v>3378</v>
      </c>
      <c r="P42" s="82" t="n">
        <v>15165</v>
      </c>
      <c r="Q42" s="82" t="n">
        <v>0</v>
      </c>
      <c r="R42" s="82" t="n">
        <v>0</v>
      </c>
      <c r="S42" s="82" t="n">
        <v>0</v>
      </c>
      <c r="T42" s="82" t="n">
        <v>0</v>
      </c>
      <c r="U42" s="82" t="n">
        <v>0</v>
      </c>
    </row>
  </sheetData>
  <mergeCells count="2">
    <mergeCell ref="B2:U2"/>
    <mergeCell ref="B3:U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2026-07-31T05:37:34Z</dcterms:created>
  <dc:creator>openpyxl</dc:creator>
  <dc:description/>
  <dc:language>en-US</dc:language>
  <cp:lastModifiedBy/>
  <dcterms:modified xsi:type="dcterms:W3CDTF">2026-10-28T14:09:08Z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